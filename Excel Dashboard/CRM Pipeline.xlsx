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defaultThemeVersion="124226"/>
  <bookViews>
    <workbookView xWindow="240" yWindow="108" windowWidth="14808" windowHeight="8016"/>
  </bookViews>
  <sheets>
    <sheet name="Dashboard" sheetId="4" r:id="rId1"/>
    <sheet name="CRM_Data" sheetId="1" r:id="rId2"/>
    <sheet name="Rep_Performance" sheetId="6" r:id="rId3"/>
    <sheet name="Funnel Analysis" sheetId="7" r:id="rId4"/>
    <sheet name="Industry Analysis" sheetId="5" r:id="rId5"/>
    <sheet name="Pivot Summary" sheetId="9" r:id="rId6"/>
  </sheets>
  <definedNames>
    <definedName name="_xlnm._FilterDatabase" localSheetId="4" hidden="1">'Industry Analysis'!$A$4:$A$33</definedName>
  </definedNames>
  <calcPr calcId="152511" iterateDelta="1E-4"/>
</workbook>
</file>

<file path=xl/calcChain.xml><?xml version="1.0" encoding="utf-8"?>
<calcChain xmlns="http://schemas.openxmlformats.org/spreadsheetml/2006/main">
  <c r="D31" i="4" l="1"/>
  <c r="A15" i="4" l="1"/>
  <c r="B15" i="4" s="1"/>
  <c r="A16" i="4"/>
  <c r="C16" i="4" s="1"/>
  <c r="A17" i="4"/>
  <c r="B17" i="4" s="1"/>
  <c r="B18" i="4"/>
  <c r="C18" i="4"/>
  <c r="O9" i="4"/>
  <c r="K9" i="4"/>
  <c r="F9" i="4"/>
  <c r="S4" i="4"/>
  <c r="F4" i="4"/>
  <c r="A4" i="4"/>
  <c r="B16" i="4" l="1"/>
  <c r="B19" i="4" s="1"/>
  <c r="E15" i="4" s="1"/>
  <c r="C17" i="4"/>
  <c r="C15" i="4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J6" i="5"/>
  <c r="I6" i="5"/>
  <c r="H6" i="5"/>
  <c r="G6" i="5"/>
  <c r="E6" i="5"/>
  <c r="D6" i="5"/>
  <c r="C6" i="5"/>
  <c r="B6" i="5"/>
  <c r="J5" i="5"/>
  <c r="I5" i="5"/>
  <c r="H5" i="5"/>
  <c r="G5" i="5"/>
  <c r="E5" i="5"/>
  <c r="D5" i="5"/>
  <c r="C5" i="5"/>
  <c r="B5" i="5"/>
  <c r="J4" i="5"/>
  <c r="I4" i="5"/>
  <c r="H4" i="5"/>
  <c r="G4" i="5"/>
  <c r="E4" i="5"/>
  <c r="D4" i="5"/>
  <c r="C4" i="5"/>
  <c r="B4" i="5"/>
  <c r="C8" i="7"/>
  <c r="B8" i="7"/>
  <c r="E7" i="7"/>
  <c r="D7" i="7"/>
  <c r="C7" i="7"/>
  <c r="B7" i="7"/>
  <c r="F6" i="7"/>
  <c r="E6" i="7"/>
  <c r="D6" i="7"/>
  <c r="C6" i="7"/>
  <c r="B6" i="7"/>
  <c r="A6" i="7"/>
  <c r="F5" i="7"/>
  <c r="E5" i="7"/>
  <c r="D5" i="7"/>
  <c r="C5" i="7"/>
  <c r="B5" i="7"/>
  <c r="A5" i="7"/>
  <c r="F4" i="7"/>
  <c r="E4" i="7"/>
  <c r="D4" i="7"/>
  <c r="C4" i="7"/>
  <c r="B4" i="7"/>
  <c r="A4" i="7"/>
  <c r="F3" i="7"/>
  <c r="E3" i="7"/>
  <c r="D3" i="7"/>
  <c r="C3" i="7"/>
  <c r="B3" i="7"/>
  <c r="A3" i="7"/>
  <c r="A10" i="6"/>
  <c r="G10" i="6" s="1"/>
  <c r="K9" i="6"/>
  <c r="E9" i="6"/>
  <c r="D9" i="6"/>
  <c r="C9" i="6"/>
  <c r="A9" i="6"/>
  <c r="J9" i="6" s="1"/>
  <c r="G8" i="6"/>
  <c r="F8" i="6"/>
  <c r="A8" i="6"/>
  <c r="E8" i="6" s="1"/>
  <c r="A7" i="6"/>
  <c r="G7" i="6" s="1"/>
  <c r="J6" i="6"/>
  <c r="G6" i="6"/>
  <c r="F6" i="6"/>
  <c r="E6" i="6"/>
  <c r="D6" i="6"/>
  <c r="B6" i="6"/>
  <c r="A6" i="6"/>
  <c r="K6" i="6" s="1"/>
  <c r="G5" i="6"/>
  <c r="E5" i="6"/>
  <c r="A5" i="6"/>
  <c r="F5" i="6" s="1"/>
  <c r="A4" i="6"/>
  <c r="K4" i="6" s="1"/>
  <c r="P33" i="1"/>
  <c r="K33" i="1"/>
  <c r="E16" i="4" l="1"/>
  <c r="E17" i="4"/>
  <c r="E18" i="4"/>
  <c r="C19" i="4"/>
  <c r="D19" i="4"/>
  <c r="B7" i="6"/>
  <c r="J7" i="6"/>
  <c r="C4" i="6"/>
  <c r="I5" i="6"/>
  <c r="C7" i="6"/>
  <c r="H7" i="6" s="1"/>
  <c r="K7" i="6"/>
  <c r="B10" i="6"/>
  <c r="B5" i="6"/>
  <c r="I4" i="6"/>
  <c r="I7" i="6"/>
  <c r="I10" i="6"/>
  <c r="D7" i="6"/>
  <c r="I8" i="6"/>
  <c r="F9" i="6"/>
  <c r="C10" i="6"/>
  <c r="H10" i="6" s="1"/>
  <c r="K10" i="6"/>
  <c r="E4" i="6"/>
  <c r="C5" i="6"/>
  <c r="H5" i="6" s="1"/>
  <c r="K5" i="6"/>
  <c r="K11" i="6" s="1"/>
  <c r="E7" i="6"/>
  <c r="B8" i="6"/>
  <c r="J8" i="6"/>
  <c r="G9" i="6"/>
  <c r="D10" i="6"/>
  <c r="J10" i="6"/>
  <c r="D4" i="6"/>
  <c r="D11" i="6" s="1"/>
  <c r="A9" i="4" s="1"/>
  <c r="J5" i="6"/>
  <c r="F4" i="6"/>
  <c r="F11" i="6" s="1"/>
  <c r="D5" i="6"/>
  <c r="I6" i="6"/>
  <c r="F7" i="6"/>
  <c r="C8" i="6"/>
  <c r="H8" i="6" s="1"/>
  <c r="K8" i="6"/>
  <c r="E10" i="6"/>
  <c r="B4" i="6"/>
  <c r="J4" i="6"/>
  <c r="J11" i="6" s="1"/>
  <c r="S9" i="4" s="1"/>
  <c r="G4" i="6"/>
  <c r="G11" i="6" s="1"/>
  <c r="D8" i="6"/>
  <c r="I9" i="6"/>
  <c r="F10" i="6"/>
  <c r="C6" i="6"/>
  <c r="H6" i="6" s="1"/>
  <c r="B9" i="6"/>
  <c r="H9" i="6" s="1"/>
  <c r="B11" i="6" l="1"/>
  <c r="H4" i="6"/>
  <c r="C11" i="6"/>
  <c r="E11" i="6"/>
  <c r="I11" i="6"/>
  <c r="K4" i="4" l="1"/>
  <c r="H11" i="6"/>
  <c r="O4" i="4" s="1"/>
</calcChain>
</file>

<file path=xl/sharedStrings.xml><?xml version="1.0" encoding="utf-8"?>
<sst xmlns="http://schemas.openxmlformats.org/spreadsheetml/2006/main" count="474" uniqueCount="180">
  <si>
    <t>Deal_ID</t>
  </si>
  <si>
    <t>Customer_Name</t>
  </si>
  <si>
    <t>Industry</t>
  </si>
  <si>
    <t>Region</t>
  </si>
  <si>
    <t>Country</t>
  </si>
  <si>
    <t>Sales_Rep</t>
  </si>
  <si>
    <t>Lead_Source</t>
  </si>
  <si>
    <t>Product</t>
  </si>
  <si>
    <t>Deal_Stage</t>
  </si>
  <si>
    <t>Status</t>
  </si>
  <si>
    <t>Deal_Value</t>
  </si>
  <si>
    <t>Expected_Close_Date</t>
  </si>
  <si>
    <t>Actual_Close_Date</t>
  </si>
  <si>
    <t>Sales_Cycle_Days</t>
  </si>
  <si>
    <t>Customer_Size</t>
  </si>
  <si>
    <t>Monthly_Recurring_Revenue</t>
  </si>
  <si>
    <t>Customer_Satisfaction_Score</t>
  </si>
  <si>
    <t>D1001</t>
  </si>
  <si>
    <t>Alpha Retail Pvt Ltd</t>
  </si>
  <si>
    <t>Retail</t>
  </si>
  <si>
    <t>North</t>
  </si>
  <si>
    <t>India</t>
  </si>
  <si>
    <t>Rahul Sharma</t>
  </si>
  <si>
    <t>LinkedIn</t>
  </si>
  <si>
    <t>CRM Software</t>
  </si>
  <si>
    <t>Won</t>
  </si>
  <si>
    <t>Enterprise</t>
  </si>
  <si>
    <t>D1002</t>
  </si>
  <si>
    <t>BrightTech Solutions</t>
  </si>
  <si>
    <t>Technology</t>
  </si>
  <si>
    <t>South</t>
  </si>
  <si>
    <t>Priya Verma</t>
  </si>
  <si>
    <t>Website</t>
  </si>
  <si>
    <t>Marketing Suite</t>
  </si>
  <si>
    <t>Negotiation</t>
  </si>
  <si>
    <t>Open</t>
  </si>
  <si>
    <t>Medium</t>
  </si>
  <si>
    <t>D1003</t>
  </si>
  <si>
    <t>Zen Pharmaceuticals</t>
  </si>
  <si>
    <t>Healthcare</t>
  </si>
  <si>
    <t>West</t>
  </si>
  <si>
    <t>Arjun Mehta</t>
  </si>
  <si>
    <t>Referral</t>
  </si>
  <si>
    <t>ERP Platform</t>
  </si>
  <si>
    <t>Proposal</t>
  </si>
  <si>
    <t>D1004</t>
  </si>
  <si>
    <t>NextGen Finance</t>
  </si>
  <si>
    <t>Finance</t>
  </si>
  <si>
    <t>East</t>
  </si>
  <si>
    <t>Sneha Kapoor</t>
  </si>
  <si>
    <t>Email Campaign</t>
  </si>
  <si>
    <t>Lost</t>
  </si>
  <si>
    <t>Small</t>
  </si>
  <si>
    <t>D1005</t>
  </si>
  <si>
    <t>Urban Builders</t>
  </si>
  <si>
    <t>Construction</t>
  </si>
  <si>
    <t>Aman Gupta</t>
  </si>
  <si>
    <t>Cold Call</t>
  </si>
  <si>
    <t>Analytics Tool</t>
  </si>
  <si>
    <t>D1006</t>
  </si>
  <si>
    <t>FreshMart Grocery</t>
  </si>
  <si>
    <t>Karan Singh</t>
  </si>
  <si>
    <t>Qualified</t>
  </si>
  <si>
    <t>D1007</t>
  </si>
  <si>
    <t>Green Energy Corp</t>
  </si>
  <si>
    <t>Energy</t>
  </si>
  <si>
    <t>Pooja Iyer</t>
  </si>
  <si>
    <t>D1008</t>
  </si>
  <si>
    <t>BlueSky Travels</t>
  </si>
  <si>
    <t>Hospitality</t>
  </si>
  <si>
    <t>D1009</t>
  </si>
  <si>
    <t>Vision EduTech</t>
  </si>
  <si>
    <t>Education</t>
  </si>
  <si>
    <t>D1010</t>
  </si>
  <si>
    <t>AutoMotion Ltd</t>
  </si>
  <si>
    <t>Automobile</t>
  </si>
  <si>
    <t>D1011</t>
  </si>
  <si>
    <t>Digital Spark Media</t>
  </si>
  <si>
    <t>Media</t>
  </si>
  <si>
    <t>D1012</t>
  </si>
  <si>
    <t>Prime Logistics</t>
  </si>
  <si>
    <t>Logistics</t>
  </si>
  <si>
    <t>D1013</t>
  </si>
  <si>
    <t>HealthFirst Clinics</t>
  </si>
  <si>
    <t>D1014</t>
  </si>
  <si>
    <t>Sunrise Textiles</t>
  </si>
  <si>
    <t>Manufacturing</t>
  </si>
  <si>
    <t>D1015</t>
  </si>
  <si>
    <t>Elite Interiors</t>
  </si>
  <si>
    <t>D1016</t>
  </si>
  <si>
    <t>FutureNet Systems</t>
  </si>
  <si>
    <t>D1017</t>
  </si>
  <si>
    <t>Oceanic Foods</t>
  </si>
  <si>
    <t>FMCG</t>
  </si>
  <si>
    <t>D1018</t>
  </si>
  <si>
    <t>SmartLife Insurance</t>
  </si>
  <si>
    <t>D1019</t>
  </si>
  <si>
    <t>SilverLine Hotels</t>
  </si>
  <si>
    <t>D1020</t>
  </si>
  <si>
    <t>Innova Electronics</t>
  </si>
  <si>
    <t>D1021</t>
  </si>
  <si>
    <t>Metro Hospitals</t>
  </si>
  <si>
    <t>D1022</t>
  </si>
  <si>
    <t>Core Banking Group</t>
  </si>
  <si>
    <t>D1023</t>
  </si>
  <si>
    <t>Creative Minds Studio</t>
  </si>
  <si>
    <t>D1024</t>
  </si>
  <si>
    <t>Velocity Transport</t>
  </si>
  <si>
    <t>D1025</t>
  </si>
  <si>
    <t>Evergreen Organics</t>
  </si>
  <si>
    <t>D1026</t>
  </si>
  <si>
    <t>BuildPro Engineers</t>
  </si>
  <si>
    <t>D1027</t>
  </si>
  <si>
    <t>LearnHub Academy</t>
  </si>
  <si>
    <t>D1028</t>
  </si>
  <si>
    <t>Skyline Aviation</t>
  </si>
  <si>
    <t>Aviation</t>
  </si>
  <si>
    <t>D1029</t>
  </si>
  <si>
    <t>TechNova Labs</t>
  </si>
  <si>
    <t>D1030</t>
  </si>
  <si>
    <t>Royal Furnitures</t>
  </si>
  <si>
    <t>Totals</t>
  </si>
  <si>
    <t xml:space="preserve">  CRM SALES DATA — 30 DEAL RECORDS | FY 2025</t>
  </si>
  <si>
    <t>INDUSTRY &amp; CUSTOMER SEGMENT ANALYSIS</t>
  </si>
  <si>
    <t>INDUSTRY</t>
  </si>
  <si>
    <t>DEALS</t>
  </si>
  <si>
    <t>Won Revenue(Rs)</t>
  </si>
  <si>
    <t>Open Pipeline(Rs)</t>
  </si>
  <si>
    <t>Avg Deal(Rs)</t>
  </si>
  <si>
    <t>By Customer Segment</t>
  </si>
  <si>
    <t>Sales Rep Performance Score Card</t>
  </si>
  <si>
    <t>Individual Performance Metrics | FY 2025 | 7 Sales Representatives</t>
  </si>
  <si>
    <t>Sales Rep</t>
  </si>
  <si>
    <t>Total Deals</t>
  </si>
  <si>
    <t>Total Value (Rs)</t>
  </si>
  <si>
    <t>Won Revenue (Rs)</t>
  </si>
  <si>
    <t>Win Rate</t>
  </si>
  <si>
    <t>Avg Deal (Rs)</t>
  </si>
  <si>
    <t>Avg CSAT</t>
  </si>
  <si>
    <t>Avg Cycle (d)</t>
  </si>
  <si>
    <t>Sales Pipeline Funnel analaysis</t>
  </si>
  <si>
    <t>Stage</t>
  </si>
  <si>
    <t>Deals</t>
  </si>
  <si>
    <t>Conv .Rate</t>
  </si>
  <si>
    <t>Drop Off</t>
  </si>
  <si>
    <t>Recommended Action</t>
  </si>
  <si>
    <t>N/A</t>
  </si>
  <si>
    <t>Confirm budget, timeline &amp; decision-maker</t>
  </si>
  <si>
    <t>Follow up within 48 hrs of sending proposal</t>
  </si>
  <si>
    <t>Escalate to manager — close urgency</t>
  </si>
  <si>
    <t>Schedule onboarding kickoff immediately</t>
  </si>
  <si>
    <t>Post-mortem, log objections, re-engage in 90d</t>
  </si>
  <si>
    <t>Segment</t>
  </si>
  <si>
    <t>Revenue (Rs)</t>
  </si>
  <si>
    <t>Revenue &amp; Deals by Industry</t>
  </si>
  <si>
    <t xml:space="preserve">  PIVOT — REP x PRODUCT REVENUE MATRIX</t>
  </si>
  <si>
    <t>TOTAL</t>
  </si>
  <si>
    <t>GRAND TOTAL</t>
  </si>
  <si>
    <t>CRM SALES INTELLIGENCE DASHBOARD</t>
  </si>
  <si>
    <t xml:space="preserve">Customer Relationship Management &amp; Sales performance |FY 2025 </t>
  </si>
  <si>
    <t>Total revenue</t>
  </si>
  <si>
    <t>Open Pipeline</t>
  </si>
  <si>
    <t>Deals Won</t>
  </si>
  <si>
    <t>Average Deal Size</t>
  </si>
  <si>
    <t>Lost deals</t>
  </si>
  <si>
    <t>In Negotiation</t>
  </si>
  <si>
    <t>Total MRR</t>
  </si>
  <si>
    <t>Average sales Cycle</t>
  </si>
  <si>
    <t>Average CSAT score</t>
  </si>
  <si>
    <t>Deals By Stage</t>
  </si>
  <si>
    <t>Split %</t>
  </si>
  <si>
    <t xml:space="preserve">  PIPELINE BY REGION</t>
  </si>
  <si>
    <t>All Value (Rs)</t>
  </si>
  <si>
    <t>Won Rev (Rs)</t>
  </si>
  <si>
    <t>Open (Rs)</t>
  </si>
  <si>
    <t xml:space="preserve">  REVENUE BY PRODUCT</t>
  </si>
  <si>
    <t xml:space="preserve">  DEALS BY LEAD SOURCE</t>
  </si>
  <si>
    <t>Lead Source</t>
  </si>
  <si>
    <t>Count</t>
  </si>
  <si>
    <t>Value (Rs)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</si>
</sst>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[$₹-4009]\ * #,##0_ ;_ [$₹-4009]\ * \-#,##0_ ;_ [$₹-4009]\ * &quot;-&quot;??_ ;_ @_ "/>
    <numFmt numFmtId="165" formatCode="0.0%"/>
    <numFmt numFmtId="166" formatCode="0.0&quot; d&quot;"/>
    <numFmt numFmtId="167" formatCode="0.0&quot; /10&quot;"/>
  </numFmts>
  <fonts count="2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rgb="FFFFFFFF"/>
      <name val="Calibri"/>
      <family val="2"/>
    </font>
    <font>
      <b/>
      <sz val="22"/>
      <color rgb="FFFFFFFF"/>
      <name val="Calibri"/>
      <family val="2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6"/>
      <color rgb="FFFFFFFF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6"/>
      <color rgb="FF9C0006"/>
      <name val="Calibri"/>
      <family val="2"/>
      <scheme val="minor"/>
    </font>
    <font>
      <sz val="16"/>
      <color rgb="FF0061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2E75B6"/>
        <bgColor rgb="FF4F81BD"/>
      </patternFill>
    </fill>
    <fill>
      <patternFill patternType="solid">
        <fgColor rgb="FF0070C0"/>
        <bgColor rgb="FF4F81BD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1F3864"/>
        <bgColor rgb="FF16213E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DFD6"/>
      </patternFill>
    </fill>
    <fill>
      <patternFill patternType="solid">
        <fgColor rgb="FFFFDFD6"/>
        <bgColor rgb="FFFCE4D6"/>
      </patternFill>
    </fill>
    <fill>
      <patternFill patternType="solid">
        <fgColor rgb="FFBDD7EE"/>
        <bgColor rgb="FFD9D9D9"/>
      </patternFill>
    </fill>
    <fill>
      <patternFill patternType="solid">
        <fgColor rgb="FFEAD1DC"/>
        <bgColor rgb="FFD9D9D9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7B74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3" tint="0.79998168889431442"/>
        <bgColor theme="5" tint="0.79998168889431442"/>
      </patternFill>
    </fill>
  </fills>
  <borders count="48">
    <border>
      <left/>
      <right/>
      <top/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rgb="FFBBBBBB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rgb="FFBBBBBB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0"/>
      </left>
      <right style="thin">
        <color theme="5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5"/>
      </bottom>
      <diagonal/>
    </border>
    <border>
      <left style="thin">
        <color theme="5"/>
      </left>
      <right style="thin">
        <color theme="0"/>
      </right>
      <top/>
      <bottom style="thin">
        <color theme="5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5"/>
      </left>
      <right/>
      <top/>
      <bottom style="thin">
        <color theme="5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  <border>
      <left style="thin">
        <color rgb="FFBBBBBB"/>
      </left>
      <right/>
      <top style="thin">
        <color rgb="FFBBBBBB"/>
      </top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theme="0"/>
      </right>
      <top/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theme="0"/>
      </right>
      <top style="thin">
        <color rgb="FFBBBBBB"/>
      </top>
      <bottom style="thin">
        <color rgb="FFBBBBBB"/>
      </bottom>
      <diagonal/>
    </border>
  </borders>
  <cellStyleXfs count="11">
    <xf numFmtId="0" fontId="0" fillId="0" borderId="0"/>
    <xf numFmtId="9" fontId="7" fillId="0" borderId="0" applyFont="0" applyFill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</cellStyleXfs>
  <cellXfs count="193">
    <xf numFmtId="0" fontId="0" fillId="0" borderId="0" xfId="0"/>
    <xf numFmtId="14" fontId="0" fillId="0" borderId="0" xfId="0" applyNumberFormat="1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10" fontId="0" fillId="0" borderId="0" xfId="0" applyNumberFormat="1"/>
    <xf numFmtId="0" fontId="12" fillId="15" borderId="8" xfId="0" applyFont="1" applyFill="1" applyBorder="1"/>
    <xf numFmtId="0" fontId="2" fillId="15" borderId="0" xfId="0" applyFont="1" applyFill="1"/>
    <xf numFmtId="0" fontId="2" fillId="15" borderId="8" xfId="0" applyFont="1" applyFill="1" applyBorder="1"/>
    <xf numFmtId="0" fontId="2" fillId="15" borderId="6" xfId="0" applyFont="1" applyFill="1" applyBorder="1"/>
    <xf numFmtId="0" fontId="2" fillId="15" borderId="5" xfId="0" applyFont="1" applyFill="1" applyBorder="1"/>
    <xf numFmtId="0" fontId="2" fillId="15" borderId="0" xfId="0" applyFont="1" applyFill="1" applyAlignment="1">
      <alignment vertical="center"/>
    </xf>
    <xf numFmtId="0" fontId="2" fillId="15" borderId="10" xfId="0" applyFont="1" applyFill="1" applyBorder="1" applyAlignment="1">
      <alignment vertical="center"/>
    </xf>
    <xf numFmtId="0" fontId="2" fillId="15" borderId="8" xfId="0" applyFont="1" applyFill="1" applyBorder="1" applyAlignment="1">
      <alignment vertical="center"/>
    </xf>
    <xf numFmtId="165" fontId="2" fillId="15" borderId="8" xfId="0" applyNumberFormat="1" applyFont="1" applyFill="1" applyBorder="1" applyAlignment="1">
      <alignment vertical="center"/>
    </xf>
    <xf numFmtId="2" fontId="2" fillId="15" borderId="10" xfId="0" applyNumberFormat="1" applyFont="1" applyFill="1" applyBorder="1" applyAlignment="1">
      <alignment vertical="center"/>
    </xf>
    <xf numFmtId="0" fontId="2" fillId="15" borderId="11" xfId="0" applyFont="1" applyFill="1" applyBorder="1" applyAlignment="1">
      <alignment vertical="center"/>
    </xf>
    <xf numFmtId="0" fontId="14" fillId="16" borderId="3" xfId="0" applyFont="1" applyFill="1" applyBorder="1" applyAlignment="1">
      <alignment horizontal="center"/>
    </xf>
    <xf numFmtId="0" fontId="14" fillId="16" borderId="4" xfId="0" applyFont="1" applyFill="1" applyBorder="1" applyAlignment="1">
      <alignment horizontal="center"/>
    </xf>
    <xf numFmtId="165" fontId="14" fillId="16" borderId="4" xfId="0" applyNumberFormat="1" applyFont="1" applyFill="1" applyBorder="1" applyAlignment="1">
      <alignment horizontal="center"/>
    </xf>
    <xf numFmtId="0" fontId="14" fillId="17" borderId="14" xfId="0" applyFont="1" applyFill="1" applyBorder="1" applyAlignment="1">
      <alignment horizontal="center"/>
    </xf>
    <xf numFmtId="0" fontId="14" fillId="17" borderId="15" xfId="0" applyFont="1" applyFill="1" applyBorder="1" applyAlignment="1">
      <alignment horizontal="center"/>
    </xf>
    <xf numFmtId="165" fontId="14" fillId="17" borderId="15" xfId="0" applyNumberFormat="1" applyFont="1" applyFill="1" applyBorder="1" applyAlignment="1">
      <alignment horizontal="center"/>
    </xf>
    <xf numFmtId="0" fontId="14" fillId="18" borderId="16" xfId="0" applyFont="1" applyFill="1" applyBorder="1" applyAlignment="1">
      <alignment horizontal="center"/>
    </xf>
    <xf numFmtId="165" fontId="14" fillId="18" borderId="16" xfId="0" applyNumberFormat="1" applyFont="1" applyFill="1" applyBorder="1" applyAlignment="1">
      <alignment horizontal="center"/>
    </xf>
    <xf numFmtId="0" fontId="14" fillId="20" borderId="16" xfId="0" applyFont="1" applyFill="1" applyBorder="1" applyAlignment="1">
      <alignment horizontal="center"/>
    </xf>
    <xf numFmtId="165" fontId="14" fillId="20" borderId="16" xfId="0" applyNumberFormat="1" applyFont="1" applyFill="1" applyBorder="1" applyAlignment="1">
      <alignment horizontal="center"/>
    </xf>
    <xf numFmtId="0" fontId="14" fillId="23" borderId="2" xfId="0" applyFont="1" applyFill="1" applyBorder="1" applyAlignment="1">
      <alignment horizontal="center"/>
    </xf>
    <xf numFmtId="165" fontId="14" fillId="23" borderId="2" xfId="0" applyNumberFormat="1" applyFont="1" applyFill="1" applyBorder="1" applyAlignment="1">
      <alignment horizontal="center"/>
    </xf>
    <xf numFmtId="0" fontId="14" fillId="21" borderId="17" xfId="0" applyFont="1" applyFill="1" applyBorder="1" applyAlignment="1">
      <alignment horizontal="center"/>
    </xf>
    <xf numFmtId="165" fontId="14" fillId="21" borderId="17" xfId="0" applyNumberFormat="1" applyFont="1" applyFill="1" applyBorder="1" applyAlignment="1">
      <alignment horizontal="center"/>
    </xf>
    <xf numFmtId="0" fontId="14" fillId="22" borderId="12" xfId="0" applyFont="1" applyFill="1" applyBorder="1" applyAlignment="1">
      <alignment horizontal="center"/>
    </xf>
    <xf numFmtId="0" fontId="14" fillId="22" borderId="13" xfId="0" applyFont="1" applyFill="1" applyBorder="1" applyAlignment="1">
      <alignment horizontal="center"/>
    </xf>
    <xf numFmtId="165" fontId="14" fillId="22" borderId="13" xfId="0" applyNumberFormat="1" applyFont="1" applyFill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65" fontId="0" fillId="0" borderId="0" xfId="1" applyNumberFormat="1" applyFont="1"/>
    <xf numFmtId="0" fontId="2" fillId="19" borderId="18" xfId="0" applyFont="1" applyFill="1" applyBorder="1"/>
    <xf numFmtId="0" fontId="2" fillId="19" borderId="11" xfId="0" applyFont="1" applyFill="1" applyBorder="1"/>
    <xf numFmtId="0" fontId="2" fillId="19" borderId="19" xfId="0" applyFont="1" applyFill="1" applyBorder="1"/>
    <xf numFmtId="0" fontId="12" fillId="15" borderId="10" xfId="0" applyFont="1" applyFill="1" applyBorder="1"/>
    <xf numFmtId="0" fontId="8" fillId="6" borderId="2" xfId="2" applyBorder="1"/>
    <xf numFmtId="0" fontId="0" fillId="0" borderId="2" xfId="0" applyBorder="1"/>
    <xf numFmtId="164" fontId="0" fillId="0" borderId="2" xfId="0" applyNumberFormat="1" applyBorder="1"/>
    <xf numFmtId="0" fontId="7" fillId="9" borderId="2" xfId="5" applyBorder="1"/>
    <xf numFmtId="164" fontId="7" fillId="9" borderId="2" xfId="5" applyNumberFormat="1" applyBorder="1"/>
    <xf numFmtId="0" fontId="0" fillId="0" borderId="2" xfId="0" applyFont="1" applyBorder="1"/>
    <xf numFmtId="164" fontId="8" fillId="6" borderId="2" xfId="2" applyNumberFormat="1" applyBorder="1"/>
    <xf numFmtId="0" fontId="10" fillId="8" borderId="2" xfId="4" applyBorder="1"/>
    <xf numFmtId="164" fontId="10" fillId="8" borderId="2" xfId="4" applyNumberFormat="1" applyBorder="1"/>
    <xf numFmtId="0" fontId="7" fillId="12" borderId="2" xfId="8" applyBorder="1"/>
    <xf numFmtId="164" fontId="7" fillId="12" borderId="2" xfId="8" applyNumberFormat="1" applyBorder="1"/>
    <xf numFmtId="0" fontId="11" fillId="14" borderId="2" xfId="10" applyBorder="1"/>
    <xf numFmtId="164" fontId="11" fillId="14" borderId="2" xfId="10" applyNumberFormat="1" applyBorder="1"/>
    <xf numFmtId="0" fontId="9" fillId="7" borderId="2" xfId="3" applyBorder="1"/>
    <xf numFmtId="164" fontId="9" fillId="7" borderId="2" xfId="3" applyNumberFormat="1" applyBorder="1"/>
    <xf numFmtId="0" fontId="6" fillId="4" borderId="6" xfId="0" applyFont="1" applyFill="1" applyBorder="1" applyAlignment="1">
      <alignment horizontal="left" vertical="center"/>
    </xf>
    <xf numFmtId="0" fontId="11" fillId="11" borderId="24" xfId="7" applyBorder="1"/>
    <xf numFmtId="0" fontId="6" fillId="4" borderId="9" xfId="0" applyFont="1" applyFill="1" applyBorder="1" applyAlignment="1">
      <alignment horizontal="left" vertical="center"/>
    </xf>
    <xf numFmtId="0" fontId="7" fillId="10" borderId="22" xfId="6" applyBorder="1"/>
    <xf numFmtId="0" fontId="7" fillId="10" borderId="20" xfId="6" applyBorder="1"/>
    <xf numFmtId="0" fontId="11" fillId="11" borderId="21" xfId="7" applyBorder="1"/>
    <xf numFmtId="0" fontId="7" fillId="10" borderId="16" xfId="6" applyBorder="1"/>
    <xf numFmtId="0" fontId="11" fillId="11" borderId="2" xfId="7" applyBorder="1"/>
    <xf numFmtId="0" fontId="6" fillId="4" borderId="25" xfId="0" applyFont="1" applyFill="1" applyBorder="1" applyAlignment="1">
      <alignment horizontal="left" vertical="center"/>
    </xf>
    <xf numFmtId="0" fontId="6" fillId="4" borderId="26" xfId="0" applyFont="1" applyFill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 wrapText="1"/>
    </xf>
    <xf numFmtId="0" fontId="16" fillId="24" borderId="27" xfId="0" applyFont="1" applyFill="1" applyBorder="1" applyAlignment="1">
      <alignment horizontal="center" vertical="center" wrapText="1"/>
    </xf>
    <xf numFmtId="0" fontId="19" fillId="25" borderId="27" xfId="0" applyFont="1" applyFill="1" applyBorder="1" applyAlignment="1">
      <alignment horizontal="left" vertical="center"/>
    </xf>
    <xf numFmtId="0" fontId="20" fillId="25" borderId="27" xfId="0" applyFont="1" applyFill="1" applyBorder="1" applyAlignment="1">
      <alignment horizontal="center" vertical="center"/>
    </xf>
    <xf numFmtId="0" fontId="18" fillId="24" borderId="27" xfId="0" applyFont="1" applyFill="1" applyBorder="1" applyAlignment="1">
      <alignment horizontal="center" vertical="center"/>
    </xf>
    <xf numFmtId="0" fontId="19" fillId="26" borderId="27" xfId="0" applyFont="1" applyFill="1" applyBorder="1" applyAlignment="1">
      <alignment horizontal="left" vertical="center"/>
    </xf>
    <xf numFmtId="0" fontId="20" fillId="26" borderId="27" xfId="0" applyFont="1" applyFill="1" applyBorder="1" applyAlignment="1">
      <alignment horizontal="center" vertical="center"/>
    </xf>
    <xf numFmtId="0" fontId="19" fillId="27" borderId="27" xfId="0" applyFont="1" applyFill="1" applyBorder="1" applyAlignment="1">
      <alignment horizontal="left" vertical="center"/>
    </xf>
    <xf numFmtId="0" fontId="20" fillId="27" borderId="27" xfId="0" applyFont="1" applyFill="1" applyBorder="1" applyAlignment="1">
      <alignment horizontal="center" vertical="center"/>
    </xf>
    <xf numFmtId="0" fontId="19" fillId="28" borderId="27" xfId="0" applyFont="1" applyFill="1" applyBorder="1" applyAlignment="1">
      <alignment horizontal="left" vertical="center"/>
    </xf>
    <xf numFmtId="0" fontId="20" fillId="28" borderId="27" xfId="0" applyFont="1" applyFill="1" applyBorder="1" applyAlignment="1">
      <alignment horizontal="center" vertical="center"/>
    </xf>
    <xf numFmtId="0" fontId="19" fillId="29" borderId="27" xfId="0" applyFont="1" applyFill="1" applyBorder="1" applyAlignment="1">
      <alignment horizontal="left" vertical="center"/>
    </xf>
    <xf numFmtId="0" fontId="20" fillId="29" borderId="27" xfId="0" applyFont="1" applyFill="1" applyBorder="1" applyAlignment="1">
      <alignment horizontal="center" vertical="center"/>
    </xf>
    <xf numFmtId="0" fontId="19" fillId="30" borderId="27" xfId="0" applyFont="1" applyFill="1" applyBorder="1" applyAlignment="1">
      <alignment horizontal="left" vertical="center"/>
    </xf>
    <xf numFmtId="0" fontId="20" fillId="30" borderId="27" xfId="0" applyFont="1" applyFill="1" applyBorder="1" applyAlignment="1">
      <alignment horizontal="center" vertical="center"/>
    </xf>
    <xf numFmtId="0" fontId="19" fillId="31" borderId="27" xfId="0" applyFont="1" applyFill="1" applyBorder="1" applyAlignment="1">
      <alignment horizontal="left" vertical="center"/>
    </xf>
    <xf numFmtId="0" fontId="20" fillId="31" borderId="2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15" borderId="6" xfId="0" applyFont="1" applyFill="1" applyBorder="1"/>
    <xf numFmtId="0" fontId="12" fillId="15" borderId="28" xfId="0" applyFont="1" applyFill="1" applyBorder="1"/>
    <xf numFmtId="0" fontId="11" fillId="13" borderId="29" xfId="9" applyBorder="1"/>
    <xf numFmtId="0" fontId="11" fillId="13" borderId="15" xfId="9" applyBorder="1"/>
    <xf numFmtId="0" fontId="11" fillId="13" borderId="30" xfId="9" applyBorder="1"/>
    <xf numFmtId="10" fontId="7" fillId="10" borderId="23" xfId="6" applyNumberFormat="1" applyBorder="1"/>
    <xf numFmtId="10" fontId="11" fillId="11" borderId="33" xfId="7" applyNumberFormat="1" applyBorder="1"/>
    <xf numFmtId="10" fontId="11" fillId="13" borderId="0" xfId="9" applyNumberFormat="1" applyBorder="1"/>
    <xf numFmtId="0" fontId="24" fillId="4" borderId="27" xfId="0" applyFont="1" applyFill="1" applyBorder="1" applyAlignment="1">
      <alignment horizontal="center" vertical="center" wrapText="1"/>
    </xf>
    <xf numFmtId="0" fontId="25" fillId="25" borderId="27" xfId="0" applyFont="1" applyFill="1" applyBorder="1" applyAlignment="1">
      <alignment horizontal="left" vertical="center"/>
    </xf>
    <xf numFmtId="0" fontId="26" fillId="25" borderId="27" xfId="0" applyFont="1" applyFill="1" applyBorder="1" applyAlignment="1">
      <alignment horizontal="center" vertical="center"/>
    </xf>
    <xf numFmtId="0" fontId="25" fillId="27" borderId="27" xfId="0" applyFont="1" applyFill="1" applyBorder="1" applyAlignment="1">
      <alignment horizontal="left" vertical="center"/>
    </xf>
    <xf numFmtId="0" fontId="26" fillId="27" borderId="27" xfId="0" applyFont="1" applyFill="1" applyBorder="1" applyAlignment="1">
      <alignment horizontal="center" vertical="center"/>
    </xf>
    <xf numFmtId="0" fontId="25" fillId="26" borderId="27" xfId="0" applyFont="1" applyFill="1" applyBorder="1" applyAlignment="1">
      <alignment horizontal="left" vertical="center"/>
    </xf>
    <xf numFmtId="0" fontId="26" fillId="26" borderId="27" xfId="0" applyFont="1" applyFill="1" applyBorder="1" applyAlignment="1">
      <alignment horizontal="center" vertical="center"/>
    </xf>
    <xf numFmtId="0" fontId="25" fillId="28" borderId="27" xfId="0" applyFont="1" applyFill="1" applyBorder="1" applyAlignment="1">
      <alignment horizontal="left" vertical="center"/>
    </xf>
    <xf numFmtId="0" fontId="26" fillId="28" borderId="27" xfId="0" applyFont="1" applyFill="1" applyBorder="1" applyAlignment="1">
      <alignment horizontal="center" vertical="center"/>
    </xf>
    <xf numFmtId="0" fontId="24" fillId="24" borderId="27" xfId="0" applyFont="1" applyFill="1" applyBorder="1" applyAlignment="1">
      <alignment horizontal="center" vertical="center"/>
    </xf>
    <xf numFmtId="1" fontId="24" fillId="24" borderId="27" xfId="0" applyNumberFormat="1" applyFont="1" applyFill="1" applyBorder="1" applyAlignment="1">
      <alignment horizontal="center" vertical="center"/>
    </xf>
    <xf numFmtId="0" fontId="15" fillId="19" borderId="35" xfId="0" applyFont="1" applyFill="1" applyBorder="1"/>
    <xf numFmtId="0" fontId="15" fillId="19" borderId="6" xfId="0" applyFont="1" applyFill="1" applyBorder="1"/>
    <xf numFmtId="0" fontId="15" fillId="19" borderId="40" xfId="0" applyFont="1" applyFill="1" applyBorder="1"/>
    <xf numFmtId="0" fontId="27" fillId="7" borderId="38" xfId="3" applyFont="1" applyBorder="1"/>
    <xf numFmtId="0" fontId="28" fillId="6" borderId="38" xfId="2" applyFont="1" applyBorder="1"/>
    <xf numFmtId="0" fontId="14" fillId="39" borderId="38" xfId="0" applyFont="1" applyFill="1" applyBorder="1"/>
    <xf numFmtId="0" fontId="14" fillId="17" borderId="38" xfId="0" applyFont="1" applyFill="1" applyBorder="1"/>
    <xf numFmtId="0" fontId="21" fillId="15" borderId="36" xfId="0" applyFont="1" applyFill="1" applyBorder="1"/>
    <xf numFmtId="0" fontId="21" fillId="15" borderId="37" xfId="0" applyFont="1" applyFill="1" applyBorder="1"/>
    <xf numFmtId="0" fontId="21" fillId="32" borderId="0" xfId="0" applyFont="1" applyFill="1"/>
    <xf numFmtId="0" fontId="25" fillId="29" borderId="27" xfId="0" applyFont="1" applyFill="1" applyBorder="1" applyAlignment="1">
      <alignment horizontal="left" vertical="center"/>
    </xf>
    <xf numFmtId="0" fontId="26" fillId="29" borderId="27" xfId="0" applyFont="1" applyFill="1" applyBorder="1" applyAlignment="1">
      <alignment horizontal="center" vertical="center"/>
    </xf>
    <xf numFmtId="0" fontId="15" fillId="19" borderId="5" xfId="0" applyFont="1" applyFill="1" applyBorder="1"/>
    <xf numFmtId="10" fontId="27" fillId="7" borderId="39" xfId="3" applyNumberFormat="1" applyFont="1" applyBorder="1"/>
    <xf numFmtId="10" fontId="28" fillId="6" borderId="39" xfId="2" applyNumberFormat="1" applyFont="1" applyBorder="1"/>
    <xf numFmtId="10" fontId="14" fillId="39" borderId="39" xfId="0" applyNumberFormat="1" applyFont="1" applyFill="1" applyBorder="1"/>
    <xf numFmtId="0" fontId="21" fillId="32" borderId="41" xfId="0" applyFont="1" applyFill="1" applyBorder="1"/>
    <xf numFmtId="0" fontId="24" fillId="4" borderId="1" xfId="0" applyFont="1" applyFill="1" applyBorder="1" applyAlignment="1">
      <alignment horizontal="center" vertical="center" wrapText="1"/>
    </xf>
    <xf numFmtId="0" fontId="26" fillId="25" borderId="1" xfId="0" applyFont="1" applyFill="1" applyBorder="1" applyAlignment="1">
      <alignment horizontal="center" vertical="center"/>
    </xf>
    <xf numFmtId="0" fontId="26" fillId="27" borderId="1" xfId="0" applyFont="1" applyFill="1" applyBorder="1" applyAlignment="1">
      <alignment horizontal="center" vertical="center"/>
    </xf>
    <xf numFmtId="0" fontId="26" fillId="26" borderId="1" xfId="0" applyFont="1" applyFill="1" applyBorder="1" applyAlignment="1">
      <alignment horizontal="center" vertical="center"/>
    </xf>
    <xf numFmtId="0" fontId="26" fillId="28" borderId="1" xfId="0" applyFont="1" applyFill="1" applyBorder="1" applyAlignment="1">
      <alignment horizontal="center" vertical="center"/>
    </xf>
    <xf numFmtId="0" fontId="24" fillId="24" borderId="1" xfId="0" applyFont="1" applyFill="1" applyBorder="1" applyAlignment="1">
      <alignment horizontal="center" vertical="center"/>
    </xf>
    <xf numFmtId="165" fontId="26" fillId="25" borderId="1" xfId="0" applyNumberFormat="1" applyFont="1" applyFill="1" applyBorder="1" applyAlignment="1">
      <alignment horizontal="center" vertical="center"/>
    </xf>
    <xf numFmtId="165" fontId="26" fillId="26" borderId="1" xfId="0" applyNumberFormat="1" applyFont="1" applyFill="1" applyBorder="1" applyAlignment="1">
      <alignment horizontal="center" vertical="center"/>
    </xf>
    <xf numFmtId="165" fontId="26" fillId="27" borderId="1" xfId="0" applyNumberFormat="1" applyFont="1" applyFill="1" applyBorder="1" applyAlignment="1">
      <alignment horizontal="center" vertical="center"/>
    </xf>
    <xf numFmtId="165" fontId="26" fillId="28" borderId="1" xfId="0" applyNumberFormat="1" applyFont="1" applyFill="1" applyBorder="1" applyAlignment="1">
      <alignment horizontal="center" vertical="center"/>
    </xf>
    <xf numFmtId="0" fontId="26" fillId="24" borderId="1" xfId="0" applyFont="1" applyFill="1" applyBorder="1" applyAlignment="1">
      <alignment horizontal="center" vertical="center"/>
    </xf>
    <xf numFmtId="165" fontId="26" fillId="29" borderId="1" xfId="0" applyNumberFormat="1" applyFont="1" applyFill="1" applyBorder="1" applyAlignment="1">
      <alignment horizontal="center" vertical="center"/>
    </xf>
    <xf numFmtId="0" fontId="24" fillId="24" borderId="42" xfId="0" applyFont="1" applyFill="1" applyBorder="1" applyAlignment="1">
      <alignment horizontal="center" vertical="center"/>
    </xf>
    <xf numFmtId="1" fontId="24" fillId="24" borderId="42" xfId="0" applyNumberFormat="1" applyFont="1" applyFill="1" applyBorder="1" applyAlignment="1">
      <alignment horizontal="center" vertical="center"/>
    </xf>
    <xf numFmtId="165" fontId="24" fillId="24" borderId="43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23" fillId="3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5" fillId="32" borderId="0" xfId="0" applyFont="1" applyFill="1" applyAlignment="1">
      <alignment horizontal="left" vertical="center"/>
    </xf>
    <xf numFmtId="0" fontId="24" fillId="24" borderId="1" xfId="0" applyFont="1" applyFill="1" applyBorder="1" applyAlignment="1">
      <alignment horizontal="left" vertical="center"/>
    </xf>
    <xf numFmtId="0" fontId="23" fillId="34" borderId="0" xfId="0" applyFont="1" applyFill="1" applyAlignment="1">
      <alignment horizontal="center"/>
    </xf>
    <xf numFmtId="0" fontId="22" fillId="37" borderId="0" xfId="0" applyFont="1" applyFill="1" applyAlignment="1">
      <alignment horizontal="center" vertical="center"/>
    </xf>
    <xf numFmtId="0" fontId="23" fillId="37" borderId="0" xfId="0" applyFont="1" applyFill="1" applyAlignment="1">
      <alignment horizontal="center"/>
    </xf>
    <xf numFmtId="0" fontId="22" fillId="38" borderId="0" xfId="0" applyFont="1" applyFill="1" applyAlignment="1">
      <alignment horizontal="center" vertical="center"/>
    </xf>
    <xf numFmtId="0" fontId="23" fillId="38" borderId="0" xfId="0" applyFont="1" applyFill="1" applyAlignment="1">
      <alignment horizontal="center"/>
    </xf>
    <xf numFmtId="166" fontId="22" fillId="33" borderId="0" xfId="0" applyNumberFormat="1" applyFont="1" applyFill="1" applyAlignment="1">
      <alignment horizontal="center" vertical="center"/>
    </xf>
    <xf numFmtId="0" fontId="23" fillId="33" borderId="0" xfId="0" applyFont="1" applyFill="1" applyAlignment="1">
      <alignment horizontal="center"/>
    </xf>
    <xf numFmtId="0" fontId="23" fillId="35" borderId="0" xfId="0" applyFont="1" applyFill="1" applyAlignment="1">
      <alignment horizontal="center"/>
    </xf>
    <xf numFmtId="10" fontId="22" fillId="37" borderId="34" xfId="1" applyNumberFormat="1" applyFont="1" applyFill="1" applyBorder="1" applyAlignment="1">
      <alignment horizontal="center" vertical="center"/>
    </xf>
    <xf numFmtId="10" fontId="22" fillId="37" borderId="0" xfId="1" applyNumberFormat="1" applyFont="1" applyFill="1" applyBorder="1" applyAlignment="1">
      <alignment horizontal="center" vertical="center"/>
    </xf>
    <xf numFmtId="9" fontId="23" fillId="37" borderId="10" xfId="1" applyFont="1" applyFill="1" applyBorder="1" applyAlignment="1">
      <alignment horizontal="center" vertical="center"/>
    </xf>
    <xf numFmtId="9" fontId="23" fillId="37" borderId="0" xfId="1" applyFont="1" applyFill="1" applyBorder="1" applyAlignment="1">
      <alignment horizontal="center" vertical="center"/>
    </xf>
    <xf numFmtId="2" fontId="22" fillId="36" borderId="0" xfId="0" applyNumberFormat="1" applyFont="1" applyFill="1" applyAlignment="1">
      <alignment horizontal="center" vertical="center"/>
    </xf>
    <xf numFmtId="0" fontId="22" fillId="34" borderId="0" xfId="0" applyFont="1" applyFill="1" applyAlignment="1">
      <alignment horizontal="center" vertical="center"/>
    </xf>
    <xf numFmtId="167" fontId="22" fillId="36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22" fillId="15" borderId="0" xfId="0" applyFont="1" applyFill="1" applyAlignment="1">
      <alignment horizontal="center" vertical="center"/>
    </xf>
    <xf numFmtId="0" fontId="23" fillId="15" borderId="0" xfId="0" applyFont="1" applyFill="1" applyAlignment="1">
      <alignment horizontal="center"/>
    </xf>
    <xf numFmtId="0" fontId="22" fillId="19" borderId="0" xfId="0" applyFont="1" applyFill="1" applyAlignment="1">
      <alignment horizontal="center" vertical="center"/>
    </xf>
    <xf numFmtId="0" fontId="23" fillId="19" borderId="0" xfId="0" applyFont="1" applyFill="1" applyAlignment="1">
      <alignment horizontal="center"/>
    </xf>
    <xf numFmtId="0" fontId="22" fillId="3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13" fillId="15" borderId="0" xfId="0" applyFont="1" applyFill="1" applyAlignment="1">
      <alignment horizontal="center" vertical="center"/>
    </xf>
    <xf numFmtId="0" fontId="11" fillId="15" borderId="7" xfId="0" applyFont="1" applyFill="1" applyBorder="1" applyAlignment="1">
      <alignment horizontal="center" vertical="center"/>
    </xf>
    <xf numFmtId="0" fontId="15" fillId="15" borderId="19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" fillId="3" borderId="19" xfId="0" applyFont="1" applyFill="1" applyBorder="1" applyAlignment="1">
      <alignment horizontal="center" vertical="center"/>
    </xf>
    <xf numFmtId="0" fontId="17" fillId="24" borderId="0" xfId="0" applyFont="1" applyFill="1" applyBorder="1" applyAlignment="1">
      <alignment horizontal="left" vertical="center"/>
    </xf>
  </cellXfs>
  <cellStyles count="11">
    <cellStyle name="20% - Accent2" xfId="5" builtinId="34"/>
    <cellStyle name="40% - Accent2" xfId="6" builtinId="35"/>
    <cellStyle name="40% - Accent4" xfId="8" builtinId="43"/>
    <cellStyle name="60% - Accent4" xfId="9" builtinId="44"/>
    <cellStyle name="60% - Accent5" xfId="10" builtinId="48"/>
    <cellStyle name="Accent3" xfId="7" builtinId="37"/>
    <cellStyle name="Bad" xfId="3" builtinId="27"/>
    <cellStyle name="Good" xfId="2" builtinId="26"/>
    <cellStyle name="Neutral" xfId="4" builtinId="28"/>
    <cellStyle name="Normal" xfId="0" builtinId="0"/>
    <cellStyle name="Percent" xfId="1" builtinId="5"/>
  </cellStyles>
  <dxfs count="14">
    <dxf>
      <font>
        <color auto="1"/>
      </font>
      <fill>
        <patternFill>
          <bgColor theme="6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FFFF6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0.0%"/>
    </dxf>
    <dxf>
      <numFmt numFmtId="1" formatCode="0"/>
    </dxf>
    <dxf>
      <numFmt numFmtId="14" formatCode="0.00%"/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numFmt numFmtId="19" formatCode="m/d/yyyy"/>
    </dxf>
    <dxf>
      <numFmt numFmtId="19" formatCode="m/d/yyyy"/>
    </dxf>
    <dxf>
      <font>
        <b/>
        <strike val="0"/>
        <outline val="0"/>
        <shadow val="0"/>
        <u val="none"/>
        <vertAlign val="baseline"/>
        <sz val="14"/>
        <color theme="0"/>
        <name val="Calibri"/>
        <scheme val="minor"/>
      </font>
      <fill>
        <patternFill patternType="solid">
          <fgColor indexed="64"/>
          <bgColor theme="3" tint="-0.499984740745262"/>
        </patternFill>
      </fill>
    </dxf>
  </dxfs>
  <tableStyles count="0" defaultTableStyle="TableStyleMedium2" defaultPivotStyle="PivotStyleMedium9"/>
  <colors>
    <mruColors>
      <color rgb="FF008080"/>
      <color rgb="FF00CC99"/>
      <color rgb="FFF7B74F"/>
      <color rgb="FFFFCC66"/>
      <color rgb="FFFFCC00"/>
      <color rgb="FFFFFF99"/>
      <color rgb="FFCCCCFF"/>
      <color rgb="FFCCFFCC"/>
      <color rgb="FF0066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Deal</a:t>
            </a:r>
            <a:r>
              <a:rPr lang="en-US" baseline="0"/>
              <a:t> distribution By Stage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'Funnel Analysis'!$B$2</c:f>
              <c:strCache>
                <c:ptCount val="1"/>
                <c:pt idx="0">
                  <c:v>Deals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'Funnel Analysis'!$A$3:$A$7</c:f>
              <c:strCache>
                <c:ptCount val="5"/>
                <c:pt idx="0">
                  <c:v>Won</c:v>
                </c:pt>
                <c:pt idx="1">
                  <c:v>Negotiation</c:v>
                </c:pt>
                <c:pt idx="2">
                  <c:v>Proposal</c:v>
                </c:pt>
                <c:pt idx="3">
                  <c:v>Lost</c:v>
                </c:pt>
                <c:pt idx="4">
                  <c:v>Qualified</c:v>
                </c:pt>
              </c:strCache>
            </c:strRef>
          </c:cat>
          <c:val>
            <c:numRef>
              <c:f>'Funnel Analysis'!$B$3:$B$7</c:f>
              <c:numCache>
                <c:formatCode>General</c:formatCode>
                <c:ptCount val="5"/>
                <c:pt idx="0">
                  <c:v>13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Won Rev (Rs) BY Region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Dashboard!$D$22</c:f>
              <c:strCache>
                <c:ptCount val="1"/>
                <c:pt idx="0">
                  <c:v>Won Rev (Rs)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Dashboard!$A$23:$A$26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Dashboard!$D$23:$D$26</c:f>
              <c:numCache>
                <c:formatCode>General</c:formatCode>
                <c:ptCount val="4"/>
                <c:pt idx="0">
                  <c:v>807000</c:v>
                </c:pt>
                <c:pt idx="1">
                  <c:v>555000</c:v>
                </c:pt>
                <c:pt idx="2">
                  <c:v>657000</c:v>
                </c:pt>
                <c:pt idx="3">
                  <c:v>225000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367072"/>
        <c:axId val="2483631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Dashboard!$B$22</c15:sqref>
                        </c15:formulaRef>
                      </c:ext>
                    </c:extLst>
                    <c:strCache>
                      <c:ptCount val="1"/>
                      <c:pt idx="0">
                        <c:v>Deals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Dashboard!$A$23:$A$26</c15:sqref>
                        </c15:formulaRef>
                      </c:ext>
                    </c:extLst>
                    <c:strCache>
                      <c:ptCount val="4"/>
                      <c:pt idx="0">
                        <c:v>North</c:v>
                      </c:pt>
                      <c:pt idx="1">
                        <c:v>South</c:v>
                      </c:pt>
                      <c:pt idx="2">
                        <c:v>East</c:v>
                      </c:pt>
                      <c:pt idx="3">
                        <c:v>West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Dashboard!$B$23:$B$26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7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Dashboard!$C$22</c15:sqref>
                        </c15:formulaRef>
                      </c:ext>
                    </c:extLst>
                    <c:strCache>
                      <c:ptCount val="1"/>
                      <c:pt idx="0">
                        <c:v>All Value (Rs)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Dashboard!$A$23:$A$26</c15:sqref>
                        </c15:formulaRef>
                      </c:ext>
                    </c:extLst>
                    <c:strCache>
                      <c:ptCount val="4"/>
                      <c:pt idx="0">
                        <c:v>North</c:v>
                      </c:pt>
                      <c:pt idx="1">
                        <c:v>South</c:v>
                      </c:pt>
                      <c:pt idx="2">
                        <c:v>East</c:v>
                      </c:pt>
                      <c:pt idx="3">
                        <c:v>West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Dashboard!$C$23:$C$26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1244000</c:v>
                      </c:pt>
                      <c:pt idx="1">
                        <c:v>1044000</c:v>
                      </c:pt>
                      <c:pt idx="2">
                        <c:v>944000</c:v>
                      </c:pt>
                      <c:pt idx="3">
                        <c:v>708000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24836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63152"/>
        <c:crosses val="autoZero"/>
        <c:auto val="1"/>
        <c:lblAlgn val="ctr"/>
        <c:lblOffset val="100"/>
        <c:noMultiLvlLbl val="0"/>
      </c:catAx>
      <c:valAx>
        <c:axId val="24836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6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Deals Count By Product</a:t>
            </a:r>
          </a:p>
        </c:rich>
      </c:tx>
      <c:layout>
        <c:manualLayout>
          <c:xMode val="edge"/>
          <c:yMode val="edge"/>
          <c:x val="0.3190555555555555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Dashboard!$B$30</c:f>
              <c:strCache>
                <c:ptCount val="1"/>
                <c:pt idx="0">
                  <c:v>Deals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Dashboard!$A$31:$A$34</c:f>
              <c:strCache>
                <c:ptCount val="4"/>
                <c:pt idx="0">
                  <c:v>CRM Software</c:v>
                </c:pt>
                <c:pt idx="1">
                  <c:v>ERP Platform</c:v>
                </c:pt>
                <c:pt idx="2">
                  <c:v>Marketing Suite</c:v>
                </c:pt>
                <c:pt idx="3">
                  <c:v>Analytics Tool</c:v>
                </c:pt>
              </c:strCache>
            </c:strRef>
          </c:cat>
          <c:val>
            <c:numRef>
              <c:f>Dashboard!$B$31:$B$34</c:f>
              <c:numCache>
                <c:formatCode>General</c:formatCode>
                <c:ptCount val="4"/>
                <c:pt idx="0">
                  <c:v>9</c:v>
                </c:pt>
                <c:pt idx="1">
                  <c:v>8</c:v>
                </c:pt>
                <c:pt idx="2">
                  <c:v>6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362368"/>
        <c:axId val="248362760"/>
        <c:extLst/>
      </c:barChart>
      <c:catAx>
        <c:axId val="248362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62760"/>
        <c:crosses val="autoZero"/>
        <c:auto val="1"/>
        <c:lblAlgn val="ctr"/>
        <c:lblOffset val="100"/>
        <c:noMultiLvlLbl val="0"/>
      </c:catAx>
      <c:valAx>
        <c:axId val="248362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62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 source Mix</a:t>
            </a: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Dashboard!$B$38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Dashboard!$A$39:$A$43</c:f>
              <c:strCache>
                <c:ptCount val="5"/>
                <c:pt idx="0">
                  <c:v>LinkedIn</c:v>
                </c:pt>
                <c:pt idx="1">
                  <c:v>Website</c:v>
                </c:pt>
                <c:pt idx="2">
                  <c:v>Referral</c:v>
                </c:pt>
                <c:pt idx="3">
                  <c:v>Email Campaign</c:v>
                </c:pt>
                <c:pt idx="4">
                  <c:v>Cold Call</c:v>
                </c:pt>
              </c:strCache>
            </c:strRef>
          </c:cat>
          <c:val>
            <c:numRef>
              <c:f>Dashboard!$B$39:$B$43</c:f>
              <c:numCache>
                <c:formatCode>General</c:formatCode>
                <c:ptCount val="5"/>
                <c:pt idx="0">
                  <c:v>6</c:v>
                </c:pt>
                <c:pt idx="1">
                  <c:v>8</c:v>
                </c:pt>
                <c:pt idx="2">
                  <c:v>7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 Value By Stage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'Funnel Analysis'!$C$2</c:f>
              <c:strCache>
                <c:ptCount val="1"/>
                <c:pt idx="0">
                  <c:v>Total Value 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'Funnel Analysis'!$A$3:$A$7</c:f>
              <c:strCache>
                <c:ptCount val="5"/>
                <c:pt idx="0">
                  <c:v>Won</c:v>
                </c:pt>
                <c:pt idx="1">
                  <c:v>Negotiation</c:v>
                </c:pt>
                <c:pt idx="2">
                  <c:v>Proposal</c:v>
                </c:pt>
                <c:pt idx="3">
                  <c:v>Lost</c:v>
                </c:pt>
                <c:pt idx="4">
                  <c:v>Qualified</c:v>
                </c:pt>
              </c:strCache>
            </c:strRef>
          </c:cat>
          <c:val>
            <c:numRef>
              <c:f>'Funnel Analysis'!$C$3:$C$7</c:f>
              <c:numCache>
                <c:formatCode>General</c:formatCode>
                <c:ptCount val="5"/>
                <c:pt idx="0">
                  <c:v>2244000</c:v>
                </c:pt>
                <c:pt idx="1">
                  <c:v>737000</c:v>
                </c:pt>
                <c:pt idx="2">
                  <c:v>454000</c:v>
                </c:pt>
                <c:pt idx="3">
                  <c:v>213000</c:v>
                </c:pt>
                <c:pt idx="4">
                  <c:v>292000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48365112"/>
        <c:axId val="248360408"/>
      </c:barChart>
      <c:catAx>
        <c:axId val="248365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60408"/>
        <c:crosses val="autoZero"/>
        <c:auto val="1"/>
        <c:lblAlgn val="ctr"/>
        <c:lblOffset val="100"/>
        <c:noMultiLvlLbl val="0"/>
      </c:catAx>
      <c:valAx>
        <c:axId val="248360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365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Pipeline By Region</a:t>
            </a:r>
          </a:p>
        </c:rich>
      </c:tx>
      <c:layout>
        <c:manualLayout>
          <c:xMode val="edge"/>
          <c:yMode val="edge"/>
          <c:x val="0.3190555555555555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Dashboard!$E$22</c:f>
              <c:strCache>
                <c:ptCount val="1"/>
                <c:pt idx="0">
                  <c:v>Open (Rs)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Dashboard!$A$23:$A$26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Dashboard!$E$23:$E$26</c:f>
              <c:numCache>
                <c:formatCode>General</c:formatCode>
                <c:ptCount val="4"/>
                <c:pt idx="0">
                  <c:v>437000</c:v>
                </c:pt>
                <c:pt idx="1">
                  <c:v>418000</c:v>
                </c:pt>
                <c:pt idx="2">
                  <c:v>209000</c:v>
                </c:pt>
                <c:pt idx="3">
                  <c:v>419000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511072"/>
        <c:axId val="3055142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Dashboard!$B$22</c15:sqref>
                        </c15:formulaRef>
                      </c:ext>
                    </c:extLst>
                    <c:strCache>
                      <c:ptCount val="1"/>
                      <c:pt idx="0">
                        <c:v>Deals</c:v>
                      </c:pt>
                    </c:strCache>
                  </c:strRef>
                </c:tx>
                <c:spPr>
                  <a:solidFill>
                    <a:schemeClr val="accent1">
                      <a:shade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Dashboard!$A$23:$A$26</c15:sqref>
                        </c15:formulaRef>
                      </c:ext>
                    </c:extLst>
                    <c:strCache>
                      <c:ptCount val="4"/>
                      <c:pt idx="0">
                        <c:v>North</c:v>
                      </c:pt>
                      <c:pt idx="1">
                        <c:v>South</c:v>
                      </c:pt>
                      <c:pt idx="2">
                        <c:v>East</c:v>
                      </c:pt>
                      <c:pt idx="3">
                        <c:v>West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Dashboard!$B$23:$B$26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7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Dashboard!$C$22</c15:sqref>
                        </c15:formulaRef>
                      </c:ext>
                    </c:extLst>
                    <c:strCache>
                      <c:ptCount val="1"/>
                      <c:pt idx="0">
                        <c:v>All Value (Rs)</c:v>
                      </c:pt>
                    </c:strCache>
                  </c:strRef>
                </c:tx>
                <c:spPr>
                  <a:solidFill>
                    <a:schemeClr val="accent1">
                      <a:shade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Dashboard!$A$23:$A$26</c15:sqref>
                        </c15:formulaRef>
                      </c:ext>
                    </c:extLst>
                    <c:strCache>
                      <c:ptCount val="4"/>
                      <c:pt idx="0">
                        <c:v>North</c:v>
                      </c:pt>
                      <c:pt idx="1">
                        <c:v>South</c:v>
                      </c:pt>
                      <c:pt idx="2">
                        <c:v>East</c:v>
                      </c:pt>
                      <c:pt idx="3">
                        <c:v>West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Dashboard!$C$23:$C$26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1244000</c:v>
                      </c:pt>
                      <c:pt idx="1">
                        <c:v>1044000</c:v>
                      </c:pt>
                      <c:pt idx="2">
                        <c:v>944000</c:v>
                      </c:pt>
                      <c:pt idx="3">
                        <c:v>708000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Dashboard!$D$22</c15:sqref>
                        </c15:formulaRef>
                      </c:ext>
                    </c:extLst>
                    <c:strCache>
                      <c:ptCount val="1"/>
                      <c:pt idx="0">
                        <c:v>Won Rev (Rs)</c:v>
                      </c:pt>
                    </c:strCache>
                  </c:strRef>
                </c:tx>
                <c:spPr>
                  <a:solidFill>
                    <a:schemeClr val="accent1">
                      <a:tint val="86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Dashboard!$A$23:$A$26</c15:sqref>
                        </c15:formulaRef>
                      </c:ext>
                    </c:extLst>
                    <c:strCache>
                      <c:ptCount val="4"/>
                      <c:pt idx="0">
                        <c:v>North</c:v>
                      </c:pt>
                      <c:pt idx="1">
                        <c:v>South</c:v>
                      </c:pt>
                      <c:pt idx="2">
                        <c:v>East</c:v>
                      </c:pt>
                      <c:pt idx="3">
                        <c:v>West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Dashboard!$D$23:$D$26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807000</c:v>
                      </c:pt>
                      <c:pt idx="1">
                        <c:v>555000</c:v>
                      </c:pt>
                      <c:pt idx="2">
                        <c:v>657000</c:v>
                      </c:pt>
                      <c:pt idx="3">
                        <c:v>225000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30551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14208"/>
        <c:crosses val="autoZero"/>
        <c:auto val="1"/>
        <c:lblAlgn val="ctr"/>
        <c:lblOffset val="100"/>
        <c:noMultiLvlLbl val="0"/>
      </c:catAx>
      <c:valAx>
        <c:axId val="305514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11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 Rate By Lead Source</a:t>
            </a:r>
          </a:p>
        </c:rich>
      </c:tx>
      <c:layout>
        <c:manualLayout>
          <c:xMode val="edge"/>
          <c:yMode val="edge"/>
          <c:x val="0.31905555555555554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Dashboard!$E$38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Dashboard!$A$39:$A$43</c:f>
              <c:strCache>
                <c:ptCount val="5"/>
                <c:pt idx="0">
                  <c:v>LinkedIn</c:v>
                </c:pt>
                <c:pt idx="1">
                  <c:v>Website</c:v>
                </c:pt>
                <c:pt idx="2">
                  <c:v>Referral</c:v>
                </c:pt>
                <c:pt idx="3">
                  <c:v>Email Campaign</c:v>
                </c:pt>
                <c:pt idx="4">
                  <c:v>Cold Call</c:v>
                </c:pt>
              </c:strCache>
            </c:strRef>
          </c:cat>
          <c:val>
            <c:numRef>
              <c:f>Dashboard!$E$39:$E$43</c:f>
              <c:numCache>
                <c:formatCode>0.0%</c:formatCode>
                <c:ptCount val="5"/>
                <c:pt idx="0">
                  <c:v>0.5</c:v>
                </c:pt>
                <c:pt idx="1">
                  <c:v>0.375</c:v>
                </c:pt>
                <c:pt idx="2">
                  <c:v>0.57099999999999995</c:v>
                </c:pt>
                <c:pt idx="3">
                  <c:v>0</c:v>
                </c:pt>
                <c:pt idx="4">
                  <c:v>0.6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513032"/>
        <c:axId val="30551224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Dashboard!$B$38</c15:sqref>
                        </c15:formulaRef>
                      </c:ext>
                    </c:extLst>
                    <c:strCache>
                      <c:ptCount val="1"/>
                      <c:pt idx="0">
                        <c:v>Count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Dashboard!$A$39:$A$43</c15:sqref>
                        </c15:formulaRef>
                      </c:ext>
                    </c:extLst>
                    <c:strCache>
                      <c:ptCount val="5"/>
                      <c:pt idx="0">
                        <c:v>LinkedIn</c:v>
                      </c:pt>
                      <c:pt idx="1">
                        <c:v>Website</c:v>
                      </c:pt>
                      <c:pt idx="2">
                        <c:v>Referral</c:v>
                      </c:pt>
                      <c:pt idx="3">
                        <c:v>Email Campaign</c:v>
                      </c:pt>
                      <c:pt idx="4">
                        <c:v>Cold Call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Dashboard!$B$39:$B$43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</c:v>
                      </c:pt>
                      <c:pt idx="4">
                        <c:v>5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Dashboard!$C$38</c15:sqref>
                        </c15:formulaRef>
                      </c:ext>
                    </c:extLst>
                    <c:strCache>
                      <c:ptCount val="1"/>
                      <c:pt idx="0">
                        <c:v>Value (Rs)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Dashboard!$A$39:$A$43</c15:sqref>
                        </c15:formulaRef>
                      </c:ext>
                    </c:extLst>
                    <c:strCache>
                      <c:ptCount val="5"/>
                      <c:pt idx="0">
                        <c:v>LinkedIn</c:v>
                      </c:pt>
                      <c:pt idx="1">
                        <c:v>Website</c:v>
                      </c:pt>
                      <c:pt idx="2">
                        <c:v>Referral</c:v>
                      </c:pt>
                      <c:pt idx="3">
                        <c:v>Email Campaign</c:v>
                      </c:pt>
                      <c:pt idx="4">
                        <c:v>Cold Call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Dashboard!$C$39:$C$43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882000</c:v>
                      </c:pt>
                      <c:pt idx="1">
                        <c:v>1082000</c:v>
                      </c:pt>
                      <c:pt idx="2">
                        <c:v>892000</c:v>
                      </c:pt>
                      <c:pt idx="3">
                        <c:v>320000</c:v>
                      </c:pt>
                      <c:pt idx="4">
                        <c:v>764000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Dashboard!$D$38</c15:sqref>
                        </c15:formulaRef>
                      </c:ext>
                    </c:extLst>
                    <c:strCache>
                      <c:ptCount val="1"/>
                      <c:pt idx="0">
                        <c:v>Won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Dashboard!$A$39:$A$43</c15:sqref>
                        </c15:formulaRef>
                      </c:ext>
                    </c:extLst>
                    <c:strCache>
                      <c:ptCount val="5"/>
                      <c:pt idx="0">
                        <c:v>LinkedIn</c:v>
                      </c:pt>
                      <c:pt idx="1">
                        <c:v>Website</c:v>
                      </c:pt>
                      <c:pt idx="2">
                        <c:v>Referral</c:v>
                      </c:pt>
                      <c:pt idx="3">
                        <c:v>Email Campaign</c:v>
                      </c:pt>
                      <c:pt idx="4">
                        <c:v>Cold Call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Dashboard!$D$39:$D$43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0</c:v>
                      </c:pt>
                      <c:pt idx="4">
                        <c:v>3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305513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12248"/>
        <c:crosses val="autoZero"/>
        <c:auto val="1"/>
        <c:lblAlgn val="ctr"/>
        <c:lblOffset val="100"/>
        <c:noMultiLvlLbl val="0"/>
      </c:catAx>
      <c:valAx>
        <c:axId val="305512248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13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4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Won Revenue By Sales_Rep (Rs)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Rep_Performance!$A$4</c:f>
              <c:strCache>
                <c:ptCount val="1"/>
                <c:pt idx="0">
                  <c:v>Priya Verma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Rep_Performance!$B$3:$K$3</c15:sqref>
                  </c15:fullRef>
                </c:ext>
              </c:extLst>
              <c:f>Rep_Performance!$G$3</c:f>
              <c:strCache>
                <c:ptCount val="1"/>
                <c:pt idx="0">
                  <c:v>Won Revenue (Rs)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Rep_Performance!$B$4:$K$4</c15:sqref>
                  </c15:fullRef>
                </c:ext>
              </c:extLst>
              <c:f>Rep_Performance!$G$4</c:f>
              <c:numCache>
                <c:formatCode>General</c:formatCode>
                <c:ptCount val="1"/>
                <c:pt idx="0">
                  <c:v>370000</c:v>
                </c:pt>
              </c:numCache>
            </c:numRef>
          </c:val>
        </c:ser>
        <c:ser>
          <c:idx val="1"/>
          <c:order val="1"/>
          <c:tx>
            <c:strRef>
              <c:f>Rep_Performance!$A$5</c:f>
              <c:strCache>
                <c:ptCount val="1"/>
                <c:pt idx="0">
                  <c:v>Arjun Mehta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Rep_Performance!$B$3:$K$3</c15:sqref>
                  </c15:fullRef>
                </c:ext>
              </c:extLst>
              <c:f>Rep_Performance!$G$3</c:f>
              <c:strCache>
                <c:ptCount val="1"/>
                <c:pt idx="0">
                  <c:v>Won Revenue (Rs)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Rep_Performance!$B$5:$K$5</c15:sqref>
                  </c15:fullRef>
                </c:ext>
              </c:extLst>
              <c:f>Rep_Performance!$G$5</c:f>
              <c:numCache>
                <c:formatCode>General</c:formatCode>
                <c:ptCount val="1"/>
                <c:pt idx="0">
                  <c:v>248000</c:v>
                </c:pt>
              </c:numCache>
            </c:numRef>
          </c:val>
        </c:ser>
        <c:ser>
          <c:idx val="2"/>
          <c:order val="2"/>
          <c:tx>
            <c:strRef>
              <c:f>Rep_Performance!$A$6</c:f>
              <c:strCache>
                <c:ptCount val="1"/>
                <c:pt idx="0">
                  <c:v>Sneha Kapoor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Rep_Performance!$B$3:$K$3</c15:sqref>
                  </c15:fullRef>
                </c:ext>
              </c:extLst>
              <c:f>Rep_Performance!$G$3</c:f>
              <c:strCache>
                <c:ptCount val="1"/>
                <c:pt idx="0">
                  <c:v>Won Revenue (Rs)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Rep_Performance!$B$6:$K$6</c15:sqref>
                  </c15:fullRef>
                </c:ext>
              </c:extLst>
              <c:f>Rep_Performance!$G$6</c:f>
              <c:numCache>
                <c:formatCode>General</c:formatCode>
                <c:ptCount val="1"/>
                <c:pt idx="0">
                  <c:v>142000</c:v>
                </c:pt>
              </c:numCache>
            </c:numRef>
          </c:val>
        </c:ser>
        <c:ser>
          <c:idx val="3"/>
          <c:order val="3"/>
          <c:tx>
            <c:strRef>
              <c:f>Rep_Performance!$A$7</c:f>
              <c:strCache>
                <c:ptCount val="1"/>
                <c:pt idx="0">
                  <c:v>Aman Gupta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Rep_Performance!$B$3:$K$3</c15:sqref>
                  </c15:fullRef>
                </c:ext>
              </c:extLst>
              <c:f>Rep_Performance!$G$3</c:f>
              <c:strCache>
                <c:ptCount val="1"/>
                <c:pt idx="0">
                  <c:v>Won Revenue (Rs)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Rep_Performance!$B$7:$K$7</c15:sqref>
                  </c15:fullRef>
                </c:ext>
              </c:extLst>
              <c:f>Rep_Performance!$G$7</c:f>
              <c:numCache>
                <c:formatCode>General</c:formatCode>
                <c:ptCount val="1"/>
                <c:pt idx="0">
                  <c:v>515000</c:v>
                </c:pt>
              </c:numCache>
            </c:numRef>
          </c:val>
        </c:ser>
        <c:ser>
          <c:idx val="4"/>
          <c:order val="4"/>
          <c:tx>
            <c:strRef>
              <c:f>Rep_Performance!$A$8</c:f>
              <c:strCache>
                <c:ptCount val="1"/>
                <c:pt idx="0">
                  <c:v>Karan Singh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Rep_Performance!$B$3:$K$3</c15:sqref>
                  </c15:fullRef>
                </c:ext>
              </c:extLst>
              <c:f>Rep_Performance!$G$3</c:f>
              <c:strCache>
                <c:ptCount val="1"/>
                <c:pt idx="0">
                  <c:v>Won Revenue (Rs)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Rep_Performance!$B$8:$K$8</c15:sqref>
                  </c15:fullRef>
                </c:ext>
              </c:extLst>
              <c:f>Rep_Performance!$G$8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Rep_Performance!$A$9</c:f>
              <c:strCache>
                <c:ptCount val="1"/>
                <c:pt idx="0">
                  <c:v>Pooja Iyer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Rep_Performance!$B$3:$K$3</c15:sqref>
                  </c15:fullRef>
                </c:ext>
              </c:extLst>
              <c:f>Rep_Performance!$G$3</c:f>
              <c:strCache>
                <c:ptCount val="1"/>
                <c:pt idx="0">
                  <c:v>Won Revenue (Rs)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Rep_Performance!$B$9:$K$9</c15:sqref>
                  </c15:fullRef>
                </c:ext>
              </c:extLst>
              <c:f>Rep_Performance!$G$9</c:f>
              <c:numCache>
                <c:formatCode>General</c:formatCode>
                <c:ptCount val="1"/>
                <c:pt idx="0">
                  <c:v>686000</c:v>
                </c:pt>
              </c:numCache>
            </c:numRef>
          </c:val>
        </c:ser>
        <c:ser>
          <c:idx val="6"/>
          <c:order val="6"/>
          <c:tx>
            <c:strRef>
              <c:f>Rep_Performance!$A$10</c:f>
              <c:strCache>
                <c:ptCount val="1"/>
                <c:pt idx="0">
                  <c:v>Rahul Sharma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Rep_Performance!$B$3:$K$3</c15:sqref>
                  </c15:fullRef>
                </c:ext>
              </c:extLst>
              <c:f>Rep_Performance!$G$3</c:f>
              <c:strCache>
                <c:ptCount val="1"/>
                <c:pt idx="0">
                  <c:v>Won Revenue (Rs)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Rep_Performance!$B$10:$K$10</c15:sqref>
                  </c15:fullRef>
                </c:ext>
              </c:extLst>
              <c:f>Rep_Performance!$G$10</c:f>
              <c:numCache>
                <c:formatCode>General</c:formatCode>
                <c:ptCount val="1"/>
                <c:pt idx="0">
                  <c:v>283000</c:v>
                </c:pt>
              </c:numCache>
            </c:numRef>
          </c:val>
        </c:ser>
        <c:ser>
          <c:idx val="7"/>
          <c:order val="7"/>
          <c:tx>
            <c:strRef>
              <c:f>Rep_Performance!$A$11</c:f>
              <c:strCache>
                <c:ptCount val="1"/>
                <c:pt idx="0">
                  <c:v>Totals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Rep_Performance!$B$3:$K$3</c15:sqref>
                  </c15:fullRef>
                </c:ext>
              </c:extLst>
              <c:f>Rep_Performance!$G$3</c:f>
              <c:strCache>
                <c:ptCount val="1"/>
                <c:pt idx="0">
                  <c:v>Won Revenue (Rs)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Rep_Performance!$B$11:$K$11</c15:sqref>
                  </c15:fullRef>
                </c:ext>
              </c:extLst>
              <c:f>Rep_Performance!$G$11</c:f>
              <c:numCache>
                <c:formatCode>General</c:formatCode>
                <c:ptCount val="1"/>
                <c:pt idx="0">
                  <c:v>2244000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5513424"/>
        <c:axId val="305511464"/>
      </c:barChart>
      <c:catAx>
        <c:axId val="30551342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305511464"/>
        <c:crosses val="autoZero"/>
        <c:auto val="1"/>
        <c:lblAlgn val="ctr"/>
        <c:lblOffset val="100"/>
        <c:noMultiLvlLbl val="0"/>
      </c:catAx>
      <c:valAx>
        <c:axId val="30551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1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Win Rate BY Sales_Rep </a:t>
            </a:r>
          </a:p>
        </c:rich>
      </c:tx>
      <c:layout>
        <c:manualLayout>
          <c:xMode val="edge"/>
          <c:yMode val="edge"/>
          <c:x val="0.4039374453193350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6"/>
          <c:order val="6"/>
          <c:tx>
            <c:strRef>
              <c:f>Rep_Performance!$H$3</c:f>
              <c:strCache>
                <c:ptCount val="1"/>
                <c:pt idx="0">
                  <c:v>Win Rate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Rep_Performance!$A$4:$A$10</c:f>
              <c:strCache>
                <c:ptCount val="7"/>
                <c:pt idx="0">
                  <c:v>Priya Verma</c:v>
                </c:pt>
                <c:pt idx="1">
                  <c:v>Arjun Mehta</c:v>
                </c:pt>
                <c:pt idx="2">
                  <c:v>Sneha Kapoor</c:v>
                </c:pt>
                <c:pt idx="3">
                  <c:v>Aman Gupta</c:v>
                </c:pt>
                <c:pt idx="4">
                  <c:v>Karan Singh</c:v>
                </c:pt>
                <c:pt idx="5">
                  <c:v>Pooja Iyer</c:v>
                </c:pt>
                <c:pt idx="6">
                  <c:v>Rahul Sharma</c:v>
                </c:pt>
              </c:strCache>
            </c:strRef>
          </c:cat>
          <c:val>
            <c:numRef>
              <c:f>Rep_Performance!$H$4:$H$10</c:f>
              <c:numCache>
                <c:formatCode>0.0%</c:formatCode>
                <c:ptCount val="7"/>
                <c:pt idx="0">
                  <c:v>0.6</c:v>
                </c:pt>
                <c:pt idx="1">
                  <c:v>0.25</c:v>
                </c:pt>
                <c:pt idx="2">
                  <c:v>0.25</c:v>
                </c:pt>
                <c:pt idx="3">
                  <c:v>0.75</c:v>
                </c:pt>
                <c:pt idx="4">
                  <c:v>0</c:v>
                </c:pt>
                <c:pt idx="5">
                  <c:v>0.75</c:v>
                </c:pt>
                <c:pt idx="6">
                  <c:v>0.4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5510288"/>
        <c:axId val="30550754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Rep_Performance!$B$3</c15:sqref>
                        </c15:formulaRef>
                      </c:ext>
                    </c:extLst>
                    <c:strCache>
                      <c:ptCount val="1"/>
                      <c:pt idx="0">
                        <c:v>Total Deals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Rep_Performance!$B$4:$B$10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5</c:v>
                      </c:pt>
                    </c:numCache>
                  </c:numRef>
                </c:val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Rep_Performance!$C$3</c15:sqref>
                        </c15:formulaRef>
                      </c:ext>
                    </c:extLst>
                    <c:strCache>
                      <c:ptCount val="1"/>
                      <c:pt idx="0">
                        <c:v>Won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Rep_Performance!$C$4:$C$10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0</c:v>
                      </c:pt>
                      <c:pt idx="5">
                        <c:v>3</c:v>
                      </c:pt>
                      <c:pt idx="6">
                        <c:v>2</c:v>
                      </c:pt>
                    </c:numCache>
                  </c:numRef>
                </c:val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Rep_Performance!$D$3</c15:sqref>
                        </c15:formulaRef>
                      </c:ext>
                    </c:extLst>
                    <c:strCache>
                      <c:ptCount val="1"/>
                      <c:pt idx="0">
                        <c:v>Lost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Rep_Performance!$D$4:$D$10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</c:numCache>
                  </c:numRef>
                </c:val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Rep_Performance!$E$3</c15:sqref>
                        </c15:formulaRef>
                      </c:ext>
                    </c:extLst>
                    <c:strCache>
                      <c:ptCount val="1"/>
                      <c:pt idx="0">
                        <c:v>Open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Rep_Performance!$E$4:$E$10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</c:v>
                      </c:pt>
                      <c:pt idx="1">
                        <c:v>3</c:v>
                      </c:pt>
                      <c:pt idx="2">
                        <c:v>2</c:v>
                      </c:pt>
                      <c:pt idx="3">
                        <c:v>0</c:v>
                      </c:pt>
                      <c:pt idx="4">
                        <c:v>4</c:v>
                      </c:pt>
                      <c:pt idx="5">
                        <c:v>1</c:v>
                      </c:pt>
                      <c:pt idx="6">
                        <c:v>2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Rep_Performance!$F$3</c15:sqref>
                        </c15:formulaRef>
                      </c:ext>
                    </c:extLst>
                    <c:strCache>
                      <c:ptCount val="1"/>
                      <c:pt idx="0">
                        <c:v>Total Value (Rs)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Rep_Performance!$F$4:$F$10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550000</c:v>
                      </c:pt>
                      <c:pt idx="1">
                        <c:v>621000</c:v>
                      </c:pt>
                      <c:pt idx="2">
                        <c:v>430000</c:v>
                      </c:pt>
                      <c:pt idx="3">
                        <c:v>586000</c:v>
                      </c:pt>
                      <c:pt idx="4">
                        <c:v>316000</c:v>
                      </c:pt>
                      <c:pt idx="5">
                        <c:v>820000</c:v>
                      </c:pt>
                      <c:pt idx="6">
                        <c:v>617000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Rep_Performance!$G$3</c15:sqref>
                        </c15:formulaRef>
                      </c:ext>
                    </c:extLst>
                    <c:strCache>
                      <c:ptCount val="1"/>
                      <c:pt idx="0">
                        <c:v>Won Revenue (Rs)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Rep_Performance!$G$4:$G$10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370000</c:v>
                      </c:pt>
                      <c:pt idx="1">
                        <c:v>248000</c:v>
                      </c:pt>
                      <c:pt idx="2">
                        <c:v>142000</c:v>
                      </c:pt>
                      <c:pt idx="3">
                        <c:v>515000</c:v>
                      </c:pt>
                      <c:pt idx="4">
                        <c:v>0</c:v>
                      </c:pt>
                      <c:pt idx="5">
                        <c:v>686000</c:v>
                      </c:pt>
                      <c:pt idx="6">
                        <c:v>283000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Rep_Performance!$I$3</c15:sqref>
                        </c15:formulaRef>
                      </c:ext>
                    </c:extLst>
                    <c:strCache>
                      <c:ptCount val="1"/>
                      <c:pt idx="0">
                        <c:v>Avg Deal (Rs)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Rep_Performance!$I$4:$I$10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110000</c:v>
                      </c:pt>
                      <c:pt idx="1">
                        <c:v>155250</c:v>
                      </c:pt>
                      <c:pt idx="2">
                        <c:v>107500</c:v>
                      </c:pt>
                      <c:pt idx="3">
                        <c:v>146500</c:v>
                      </c:pt>
                      <c:pt idx="4">
                        <c:v>79000</c:v>
                      </c:pt>
                      <c:pt idx="5">
                        <c:v>205000</c:v>
                      </c:pt>
                      <c:pt idx="6">
                        <c:v>123400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Rep_Performance!$J$3</c15:sqref>
                        </c15:formulaRef>
                      </c:ext>
                    </c:extLst>
                    <c:strCache>
                      <c:ptCount val="1"/>
                      <c:pt idx="0">
                        <c:v>Avg CSAT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Rep_Performance!$J$4:$J$10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8.4</c:v>
                      </c:pt>
                      <c:pt idx="1">
                        <c:v>8</c:v>
                      </c:pt>
                      <c:pt idx="2">
                        <c:v>7.5</c:v>
                      </c:pt>
                      <c:pt idx="3">
                        <c:v>8.25</c:v>
                      </c:pt>
                      <c:pt idx="4">
                        <c:v>7.5</c:v>
                      </c:pt>
                      <c:pt idx="5">
                        <c:v>8.75</c:v>
                      </c:pt>
                      <c:pt idx="6">
                        <c:v>7.8</c:v>
                      </c:pt>
                    </c:numCache>
                  </c:numRef>
                </c:val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Rep_Performance!$K$3</c15:sqref>
                        </c15:formulaRef>
                      </c:ext>
                    </c:extLst>
                    <c:strCache>
                      <c:ptCount val="1"/>
                      <c:pt idx="0">
                        <c:v>Avg Cycle (d)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1" i="0" u="none" strike="noStrike" kern="1200" baseline="0">
                          <a:solidFill>
                            <a:sysClr val="windowText" lastClr="000000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Rep_Performance!$K$4:$K$10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23.2</c:v>
                      </c:pt>
                      <c:pt idx="1">
                        <c:v>24</c:v>
                      </c:pt>
                      <c:pt idx="2">
                        <c:v>20.25</c:v>
                      </c:pt>
                      <c:pt idx="3">
                        <c:v>19</c:v>
                      </c:pt>
                      <c:pt idx="4">
                        <c:v>15.25</c:v>
                      </c:pt>
                      <c:pt idx="5">
                        <c:v>30.25</c:v>
                      </c:pt>
                      <c:pt idx="6">
                        <c:v>20.399999999999999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305510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07544"/>
        <c:crosses val="autoZero"/>
        <c:auto val="1"/>
        <c:lblAlgn val="ctr"/>
        <c:lblOffset val="100"/>
        <c:noMultiLvlLbl val="0"/>
      </c:catAx>
      <c:valAx>
        <c:axId val="305507544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1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Deals W/L/O by Rep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Rep_Performance!$C$3</c:f>
              <c:strCache>
                <c:ptCount val="1"/>
                <c:pt idx="0">
                  <c:v>Won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Rep_Performance!$A$4:$A$10</c:f>
              <c:strCache>
                <c:ptCount val="7"/>
                <c:pt idx="0">
                  <c:v>Priya Verma</c:v>
                </c:pt>
                <c:pt idx="1">
                  <c:v>Arjun Mehta</c:v>
                </c:pt>
                <c:pt idx="2">
                  <c:v>Sneha Kapoor</c:v>
                </c:pt>
                <c:pt idx="3">
                  <c:v>Aman Gupta</c:v>
                </c:pt>
                <c:pt idx="4">
                  <c:v>Karan Singh</c:v>
                </c:pt>
                <c:pt idx="5">
                  <c:v>Pooja Iyer</c:v>
                </c:pt>
                <c:pt idx="6">
                  <c:v>Rahul Sharma</c:v>
                </c:pt>
              </c:strCache>
            </c:strRef>
          </c:cat>
          <c:val>
            <c:numRef>
              <c:f>Rep_Performance!$C$4:$C$10</c:f>
              <c:numCache>
                <c:formatCode>General</c:formatCode>
                <c:ptCount val="7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</c:numCache>
            </c:numRef>
          </c:val>
        </c:ser>
        <c:ser>
          <c:idx val="2"/>
          <c:order val="2"/>
          <c:tx>
            <c:strRef>
              <c:f>Rep_Performance!$D$3</c:f>
              <c:strCache>
                <c:ptCount val="1"/>
                <c:pt idx="0">
                  <c:v>Lost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Rep_Performance!$A$4:$A$10</c:f>
              <c:strCache>
                <c:ptCount val="7"/>
                <c:pt idx="0">
                  <c:v>Priya Verma</c:v>
                </c:pt>
                <c:pt idx="1">
                  <c:v>Arjun Mehta</c:v>
                </c:pt>
                <c:pt idx="2">
                  <c:v>Sneha Kapoor</c:v>
                </c:pt>
                <c:pt idx="3">
                  <c:v>Aman Gupta</c:v>
                </c:pt>
                <c:pt idx="4">
                  <c:v>Karan Singh</c:v>
                </c:pt>
                <c:pt idx="5">
                  <c:v>Pooja Iyer</c:v>
                </c:pt>
                <c:pt idx="6">
                  <c:v>Rahul Sharma</c:v>
                </c:pt>
              </c:strCache>
            </c:strRef>
          </c:cat>
          <c:val>
            <c:numRef>
              <c:f>Rep_Performance!$D$4:$D$10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</c:ser>
        <c:ser>
          <c:idx val="3"/>
          <c:order val="3"/>
          <c:tx>
            <c:strRef>
              <c:f>Rep_Performance!$E$3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Rep_Performance!$A$4:$A$10</c:f>
              <c:strCache>
                <c:ptCount val="7"/>
                <c:pt idx="0">
                  <c:v>Priya Verma</c:v>
                </c:pt>
                <c:pt idx="1">
                  <c:v>Arjun Mehta</c:v>
                </c:pt>
                <c:pt idx="2">
                  <c:v>Sneha Kapoor</c:v>
                </c:pt>
                <c:pt idx="3">
                  <c:v>Aman Gupta</c:v>
                </c:pt>
                <c:pt idx="4">
                  <c:v>Karan Singh</c:v>
                </c:pt>
                <c:pt idx="5">
                  <c:v>Pooja Iyer</c:v>
                </c:pt>
                <c:pt idx="6">
                  <c:v>Rahul Sharma</c:v>
                </c:pt>
              </c:strCache>
            </c:strRef>
          </c:cat>
          <c:val>
            <c:numRef>
              <c:f>Rep_Performance!$E$4:$E$10</c:f>
              <c:numCache>
                <c:formatCode>General</c:formatCode>
                <c:ptCount val="7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  <c:pt idx="4">
                  <c:v>4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5511856"/>
        <c:axId val="3055138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Rep_Performance!$B$3</c15:sqref>
                        </c15:formulaRef>
                      </c:ext>
                    </c:extLst>
                    <c:strCache>
                      <c:ptCount val="1"/>
                      <c:pt idx="0">
                        <c:v>Total Deals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Rep_Performance!$B$4:$B$10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5</c:v>
                      </c:pt>
                    </c:numCache>
                  </c:numRef>
                </c:val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Rep_Performance!$F$3</c15:sqref>
                        </c15:formulaRef>
                      </c:ext>
                    </c:extLst>
                    <c:strCache>
                      <c:ptCount val="1"/>
                      <c:pt idx="0">
                        <c:v>Total Value (Rs)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Rep_Performance!$F$4:$F$10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550000</c:v>
                      </c:pt>
                      <c:pt idx="1">
                        <c:v>621000</c:v>
                      </c:pt>
                      <c:pt idx="2">
                        <c:v>430000</c:v>
                      </c:pt>
                      <c:pt idx="3">
                        <c:v>586000</c:v>
                      </c:pt>
                      <c:pt idx="4">
                        <c:v>316000</c:v>
                      </c:pt>
                      <c:pt idx="5">
                        <c:v>820000</c:v>
                      </c:pt>
                      <c:pt idx="6">
                        <c:v>617000</c:v>
                      </c:pt>
                    </c:numCache>
                  </c:numRef>
                </c:val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Rep_Performance!$G$3</c15:sqref>
                        </c15:formulaRef>
                      </c:ext>
                    </c:extLst>
                    <c:strCache>
                      <c:ptCount val="1"/>
                      <c:pt idx="0">
                        <c:v>Won Revenue (Rs)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Rep_Performance!$G$4:$G$10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370000</c:v>
                      </c:pt>
                      <c:pt idx="1">
                        <c:v>248000</c:v>
                      </c:pt>
                      <c:pt idx="2">
                        <c:v>142000</c:v>
                      </c:pt>
                      <c:pt idx="3">
                        <c:v>515000</c:v>
                      </c:pt>
                      <c:pt idx="4">
                        <c:v>0</c:v>
                      </c:pt>
                      <c:pt idx="5">
                        <c:v>686000</c:v>
                      </c:pt>
                      <c:pt idx="6">
                        <c:v>283000</c:v>
                      </c:pt>
                    </c:numCache>
                  </c:numRef>
                </c:val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Rep_Performance!$H$3</c15:sqref>
                        </c15:formulaRef>
                      </c:ext>
                    </c:extLst>
                    <c:strCache>
                      <c:ptCount val="1"/>
                      <c:pt idx="0">
                        <c:v>Win Rate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Rep_Performance!$H$4:$H$10</c15:sqref>
                        </c15:formulaRef>
                      </c:ext>
                    </c:extLst>
                    <c:numCache>
                      <c:formatCode>0.0%</c:formatCode>
                      <c:ptCount val="7"/>
                      <c:pt idx="0">
                        <c:v>0.6</c:v>
                      </c:pt>
                      <c:pt idx="1">
                        <c:v>0.25</c:v>
                      </c:pt>
                      <c:pt idx="2">
                        <c:v>0.25</c:v>
                      </c:pt>
                      <c:pt idx="3">
                        <c:v>0.75</c:v>
                      </c:pt>
                      <c:pt idx="4">
                        <c:v>0</c:v>
                      </c:pt>
                      <c:pt idx="5">
                        <c:v>0.75</c:v>
                      </c:pt>
                      <c:pt idx="6">
                        <c:v>0.4</c:v>
                      </c:pt>
                    </c:numCache>
                  </c:numRef>
                </c:val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Rep_Performance!$I$3</c15:sqref>
                        </c15:formulaRef>
                      </c:ext>
                    </c:extLst>
                    <c:strCache>
                      <c:ptCount val="1"/>
                      <c:pt idx="0">
                        <c:v>Avg Deal (Rs)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Rep_Performance!$I$4:$I$10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110000</c:v>
                      </c:pt>
                      <c:pt idx="1">
                        <c:v>155250</c:v>
                      </c:pt>
                      <c:pt idx="2">
                        <c:v>107500</c:v>
                      </c:pt>
                      <c:pt idx="3">
                        <c:v>146500</c:v>
                      </c:pt>
                      <c:pt idx="4">
                        <c:v>79000</c:v>
                      </c:pt>
                      <c:pt idx="5">
                        <c:v>205000</c:v>
                      </c:pt>
                      <c:pt idx="6">
                        <c:v>123400</c:v>
                      </c:pt>
                    </c:numCache>
                  </c:numRef>
                </c:val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Rep_Performance!$J$3</c15:sqref>
                        </c15:formulaRef>
                      </c:ext>
                    </c:extLst>
                    <c:strCache>
                      <c:ptCount val="1"/>
                      <c:pt idx="0">
                        <c:v>Avg CSAT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Rep_Performance!$J$4:$J$10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8.4</c:v>
                      </c:pt>
                      <c:pt idx="1">
                        <c:v>8</c:v>
                      </c:pt>
                      <c:pt idx="2">
                        <c:v>7.5</c:v>
                      </c:pt>
                      <c:pt idx="3">
                        <c:v>8.25</c:v>
                      </c:pt>
                      <c:pt idx="4">
                        <c:v>7.5</c:v>
                      </c:pt>
                      <c:pt idx="5">
                        <c:v>8.75</c:v>
                      </c:pt>
                      <c:pt idx="6">
                        <c:v>7.8</c:v>
                      </c:pt>
                    </c:numCache>
                  </c:numRef>
                </c:val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Rep_Performance!$K$3</c15:sqref>
                        </c15:formulaRef>
                      </c:ext>
                    </c:extLst>
                    <c:strCache>
                      <c:ptCount val="1"/>
                      <c:pt idx="0">
                        <c:v>Avg Cycle (d)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Rep_Performance!$A$4:$A$10</c15:sqref>
                        </c15:formulaRef>
                      </c:ext>
                    </c:extLst>
                    <c:strCache>
                      <c:ptCount val="7"/>
                      <c:pt idx="0">
                        <c:v>Priya Verma</c:v>
                      </c:pt>
                      <c:pt idx="1">
                        <c:v>Arjun Mehta</c:v>
                      </c:pt>
                      <c:pt idx="2">
                        <c:v>Sneha Kapoor</c:v>
                      </c:pt>
                      <c:pt idx="3">
                        <c:v>Aman Gupta</c:v>
                      </c:pt>
                      <c:pt idx="4">
                        <c:v>Karan Singh</c:v>
                      </c:pt>
                      <c:pt idx="5">
                        <c:v>Pooja Iyer</c:v>
                      </c:pt>
                      <c:pt idx="6">
                        <c:v>Rahul Sharma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Rep_Performance!$K$4:$K$10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23.2</c:v>
                      </c:pt>
                      <c:pt idx="1">
                        <c:v>24</c:v>
                      </c:pt>
                      <c:pt idx="2">
                        <c:v>20.25</c:v>
                      </c:pt>
                      <c:pt idx="3">
                        <c:v>19</c:v>
                      </c:pt>
                      <c:pt idx="4">
                        <c:v>15.25</c:v>
                      </c:pt>
                      <c:pt idx="5">
                        <c:v>30.25</c:v>
                      </c:pt>
                      <c:pt idx="6">
                        <c:v>20.399999999999999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30551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13816"/>
        <c:crosses val="autoZero"/>
        <c:auto val="1"/>
        <c:lblAlgn val="ctr"/>
        <c:lblOffset val="100"/>
        <c:noMultiLvlLbl val="0"/>
      </c:catAx>
      <c:valAx>
        <c:axId val="305513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1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CSAT Score By Rep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8"/>
          <c:order val="0"/>
          <c:tx>
            <c:strRef>
              <c:f>Rep_Performance!$J$3</c:f>
              <c:strCache>
                <c:ptCount val="1"/>
                <c:pt idx="0">
                  <c:v>Avg CSAT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Rep_Performance!$A$4:$A$10</c:f>
              <c:strCache>
                <c:ptCount val="7"/>
                <c:pt idx="0">
                  <c:v>Priya Verma</c:v>
                </c:pt>
                <c:pt idx="1">
                  <c:v>Arjun Mehta</c:v>
                </c:pt>
                <c:pt idx="2">
                  <c:v>Sneha Kapoor</c:v>
                </c:pt>
                <c:pt idx="3">
                  <c:v>Aman Gupta</c:v>
                </c:pt>
                <c:pt idx="4">
                  <c:v>Karan Singh</c:v>
                </c:pt>
                <c:pt idx="5">
                  <c:v>Pooja Iyer</c:v>
                </c:pt>
                <c:pt idx="6">
                  <c:v>Rahul Sharma</c:v>
                </c:pt>
              </c:strCache>
            </c:strRef>
          </c:cat>
          <c:val>
            <c:numRef>
              <c:f>Rep_Performance!$J$4:$J$10</c:f>
              <c:numCache>
                <c:formatCode>General</c:formatCode>
                <c:ptCount val="7"/>
                <c:pt idx="0">
                  <c:v>8.4</c:v>
                </c:pt>
                <c:pt idx="1">
                  <c:v>8</c:v>
                </c:pt>
                <c:pt idx="2">
                  <c:v>7.5</c:v>
                </c:pt>
                <c:pt idx="3">
                  <c:v>8.25</c:v>
                </c:pt>
                <c:pt idx="4">
                  <c:v>7.5</c:v>
                </c:pt>
                <c:pt idx="5">
                  <c:v>8.75</c:v>
                </c:pt>
                <c:pt idx="6">
                  <c:v>7.8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5507936"/>
        <c:axId val="305508328"/>
      </c:barChart>
      <c:catAx>
        <c:axId val="30550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08328"/>
        <c:crosses val="autoZero"/>
        <c:auto val="1"/>
        <c:lblAlgn val="ctr"/>
        <c:lblOffset val="100"/>
        <c:noMultiLvlLbl val="0"/>
      </c:catAx>
      <c:valAx>
        <c:axId val="30550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0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 Funnel- Deal Count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'Funnel Analysis'!$B$2</c:f>
              <c:strCache>
                <c:ptCount val="1"/>
                <c:pt idx="0">
                  <c:v>Deals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'Funnel Analysis'!$A$3:$A$7</c:f>
              <c:strCache>
                <c:ptCount val="5"/>
                <c:pt idx="0">
                  <c:v>Won</c:v>
                </c:pt>
                <c:pt idx="1">
                  <c:v>Negotiation</c:v>
                </c:pt>
                <c:pt idx="2">
                  <c:v>Proposal</c:v>
                </c:pt>
                <c:pt idx="3">
                  <c:v>Lost</c:v>
                </c:pt>
                <c:pt idx="4">
                  <c:v>Qualified</c:v>
                </c:pt>
              </c:strCache>
            </c:strRef>
          </c:cat>
          <c:val>
            <c:numRef>
              <c:f>'Funnel Analysis'!$B$3:$B$7</c:f>
              <c:numCache>
                <c:formatCode>General</c:formatCode>
                <c:ptCount val="5"/>
                <c:pt idx="0">
                  <c:v>13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5509112"/>
        <c:axId val="305509504"/>
      </c:barChart>
      <c:catAx>
        <c:axId val="305509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09504"/>
        <c:crosses val="autoZero"/>
        <c:auto val="1"/>
        <c:lblAlgn val="ctr"/>
        <c:lblOffset val="100"/>
        <c:noMultiLvlLbl val="0"/>
      </c:catAx>
      <c:valAx>
        <c:axId val="30550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509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Deal size By Stage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'Funnel Analysis'!$E$2</c:f>
              <c:strCache>
                <c:ptCount val="1"/>
                <c:pt idx="0">
                  <c:v>Avg Deal 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'Funnel Analysis'!$A$3:$A$7</c:f>
              <c:strCache>
                <c:ptCount val="5"/>
                <c:pt idx="0">
                  <c:v>Won</c:v>
                </c:pt>
                <c:pt idx="1">
                  <c:v>Negotiation</c:v>
                </c:pt>
                <c:pt idx="2">
                  <c:v>Proposal</c:v>
                </c:pt>
                <c:pt idx="3">
                  <c:v>Lost</c:v>
                </c:pt>
                <c:pt idx="4">
                  <c:v>Qualified</c:v>
                </c:pt>
              </c:strCache>
            </c:strRef>
          </c:cat>
          <c:val>
            <c:numRef>
              <c:f>'Funnel Analysis'!$E$3:$E$7</c:f>
              <c:numCache>
                <c:formatCode>0</c:formatCode>
                <c:ptCount val="5"/>
                <c:pt idx="0">
                  <c:v>172615.38461538462</c:v>
                </c:pt>
                <c:pt idx="1">
                  <c:v>122833.33333333333</c:v>
                </c:pt>
                <c:pt idx="2">
                  <c:v>113500</c:v>
                </c:pt>
                <c:pt idx="3">
                  <c:v>71000</c:v>
                </c:pt>
                <c:pt idx="4">
                  <c:v>73000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6527264"/>
        <c:axId val="306528048"/>
      </c:barChart>
      <c:catAx>
        <c:axId val="30652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8048"/>
        <c:crosses val="autoZero"/>
        <c:auto val="1"/>
        <c:lblAlgn val="ctr"/>
        <c:lblOffset val="100"/>
        <c:noMultiLvlLbl val="0"/>
      </c:catAx>
      <c:valAx>
        <c:axId val="306528048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 Value</a:t>
            </a:r>
            <a:r>
              <a:rPr lang="en-US" baseline="0"/>
              <a:t> By Stage (Rs)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'Funnel Analysis'!$C$2</c:f>
              <c:strCache>
                <c:ptCount val="1"/>
                <c:pt idx="0">
                  <c:v>Total Value 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'Funnel Analysis'!$A$3:$A$7</c:f>
              <c:strCache>
                <c:ptCount val="5"/>
                <c:pt idx="0">
                  <c:v>Won</c:v>
                </c:pt>
                <c:pt idx="1">
                  <c:v>Negotiation</c:v>
                </c:pt>
                <c:pt idx="2">
                  <c:v>Proposal</c:v>
                </c:pt>
                <c:pt idx="3">
                  <c:v>Lost</c:v>
                </c:pt>
                <c:pt idx="4">
                  <c:v>Qualified</c:v>
                </c:pt>
              </c:strCache>
            </c:strRef>
          </c:cat>
          <c:val>
            <c:numRef>
              <c:f>'Funnel Analysis'!$C$3:$C$7</c:f>
              <c:numCache>
                <c:formatCode>General</c:formatCode>
                <c:ptCount val="5"/>
                <c:pt idx="0">
                  <c:v>2244000</c:v>
                </c:pt>
                <c:pt idx="1">
                  <c:v>737000</c:v>
                </c:pt>
                <c:pt idx="2">
                  <c:v>454000</c:v>
                </c:pt>
                <c:pt idx="3">
                  <c:v>213000</c:v>
                </c:pt>
                <c:pt idx="4">
                  <c:v>292000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6527656"/>
        <c:axId val="306522560"/>
      </c:barChart>
      <c:catAx>
        <c:axId val="30652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2560"/>
        <c:crosses val="autoZero"/>
        <c:auto val="1"/>
        <c:lblAlgn val="ctr"/>
        <c:lblOffset val="100"/>
        <c:noMultiLvlLbl val="0"/>
      </c:catAx>
      <c:valAx>
        <c:axId val="30652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Pipeline Funnel- Deal Count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'Industry Analysis'!$C$3</c:f>
              <c:strCache>
                <c:ptCount val="1"/>
                <c:pt idx="0">
                  <c:v>Won Revenue(Rs)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'Industry Analysis'!$A$4:$A$17</c:f>
              <c:strCache>
                <c:ptCount val="14"/>
                <c:pt idx="0">
                  <c:v>Retail</c:v>
                </c:pt>
                <c:pt idx="1">
                  <c:v>Technology</c:v>
                </c:pt>
                <c:pt idx="2">
                  <c:v>Healthcare</c:v>
                </c:pt>
                <c:pt idx="3">
                  <c:v>Finance</c:v>
                </c:pt>
                <c:pt idx="4">
                  <c:v>Construction</c:v>
                </c:pt>
                <c:pt idx="5">
                  <c:v>Energy</c:v>
                </c:pt>
                <c:pt idx="6">
                  <c:v>Hospitality</c:v>
                </c:pt>
                <c:pt idx="7">
                  <c:v>Education</c:v>
                </c:pt>
                <c:pt idx="8">
                  <c:v>Automobile</c:v>
                </c:pt>
                <c:pt idx="9">
                  <c:v>Media</c:v>
                </c:pt>
                <c:pt idx="10">
                  <c:v>Logistics</c:v>
                </c:pt>
                <c:pt idx="11">
                  <c:v>Manufacturing</c:v>
                </c:pt>
                <c:pt idx="12">
                  <c:v>FMCG</c:v>
                </c:pt>
                <c:pt idx="13">
                  <c:v>Aviation</c:v>
                </c:pt>
              </c:strCache>
            </c:strRef>
          </c:cat>
          <c:val>
            <c:numRef>
              <c:f>'Industry Analysis'!$C$4:$C$17</c:f>
              <c:numCache>
                <c:formatCode>General</c:formatCode>
                <c:ptCount val="14"/>
                <c:pt idx="0">
                  <c:v>303000</c:v>
                </c:pt>
                <c:pt idx="1">
                  <c:v>155000</c:v>
                </c:pt>
                <c:pt idx="2">
                  <c:v>265000</c:v>
                </c:pt>
                <c:pt idx="3">
                  <c:v>0</c:v>
                </c:pt>
                <c:pt idx="4">
                  <c:v>215000</c:v>
                </c:pt>
                <c:pt idx="5">
                  <c:v>0</c:v>
                </c:pt>
                <c:pt idx="6">
                  <c:v>226000</c:v>
                </c:pt>
                <c:pt idx="7">
                  <c:v>0</c:v>
                </c:pt>
                <c:pt idx="8">
                  <c:v>248000</c:v>
                </c:pt>
                <c:pt idx="9">
                  <c:v>97000</c:v>
                </c:pt>
                <c:pt idx="10">
                  <c:v>172000</c:v>
                </c:pt>
                <c:pt idx="11">
                  <c:v>189000</c:v>
                </c:pt>
                <c:pt idx="12">
                  <c:v>142000</c:v>
                </c:pt>
                <c:pt idx="13">
                  <c:v>232000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6526088"/>
        <c:axId val="306526872"/>
      </c:barChart>
      <c:catAx>
        <c:axId val="306526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6872"/>
        <c:crosses val="autoZero"/>
        <c:auto val="1"/>
        <c:lblAlgn val="ctr"/>
        <c:lblOffset val="100"/>
        <c:noMultiLvlLbl val="0"/>
      </c:catAx>
      <c:valAx>
        <c:axId val="306526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6088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(Rs) By Customer Segment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'Industry Analysis'!$I$3</c:f>
              <c:strCache>
                <c:ptCount val="1"/>
                <c:pt idx="0">
                  <c:v>Revenue (Rs)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'Industry Analysis'!$G$4:$G$6</c:f>
              <c:strCache>
                <c:ptCount val="3"/>
                <c:pt idx="0">
                  <c:v>Medium</c:v>
                </c:pt>
                <c:pt idx="1">
                  <c:v>Enterprise</c:v>
                </c:pt>
                <c:pt idx="2">
                  <c:v>Small</c:v>
                </c:pt>
              </c:strCache>
            </c:strRef>
          </c:cat>
          <c:val>
            <c:numRef>
              <c:f>'Industry Analysis'!$I$4:$I$6</c:f>
              <c:numCache>
                <c:formatCode>General</c:formatCode>
                <c:ptCount val="3"/>
                <c:pt idx="0">
                  <c:v>1097000</c:v>
                </c:pt>
                <c:pt idx="1">
                  <c:v>2319000</c:v>
                </c:pt>
                <c:pt idx="2">
                  <c:v>524000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0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00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</a:t>
            </a:r>
            <a:r>
              <a:rPr lang="en-US" baseline="0"/>
              <a:t> Pipeline By Industry (Rs)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85066191543575"/>
          <c:y val="0.11722995361166337"/>
          <c:w val="0.73738778090694868"/>
          <c:h val="0.796664631632775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'Industry Analysis'!$D$3</c:f>
              <c:strCache>
                <c:ptCount val="1"/>
                <c:pt idx="0">
                  <c:v>Open Pipeline(Rs)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'Industry Analysis'!$A$4:$A$17</c:f>
              <c:strCache>
                <c:ptCount val="14"/>
                <c:pt idx="0">
                  <c:v>Retail</c:v>
                </c:pt>
                <c:pt idx="1">
                  <c:v>Technology</c:v>
                </c:pt>
                <c:pt idx="2">
                  <c:v>Healthcare</c:v>
                </c:pt>
                <c:pt idx="3">
                  <c:v>Finance</c:v>
                </c:pt>
                <c:pt idx="4">
                  <c:v>Construction</c:v>
                </c:pt>
                <c:pt idx="5">
                  <c:v>Energy</c:v>
                </c:pt>
                <c:pt idx="6">
                  <c:v>Hospitality</c:v>
                </c:pt>
                <c:pt idx="7">
                  <c:v>Education</c:v>
                </c:pt>
                <c:pt idx="8">
                  <c:v>Automobile</c:v>
                </c:pt>
                <c:pt idx="9">
                  <c:v>Media</c:v>
                </c:pt>
                <c:pt idx="10">
                  <c:v>Logistics</c:v>
                </c:pt>
                <c:pt idx="11">
                  <c:v>Manufacturing</c:v>
                </c:pt>
                <c:pt idx="12">
                  <c:v>FMCG</c:v>
                </c:pt>
                <c:pt idx="13">
                  <c:v>Aviation</c:v>
                </c:pt>
              </c:strCache>
            </c:strRef>
          </c:cat>
          <c:val>
            <c:numRef>
              <c:f>'Industry Analysis'!$D$4:$D$17</c:f>
              <c:numCache>
                <c:formatCode>General</c:formatCode>
                <c:ptCount val="14"/>
                <c:pt idx="0">
                  <c:v>69000</c:v>
                </c:pt>
                <c:pt idx="1">
                  <c:v>243000</c:v>
                </c:pt>
                <c:pt idx="2">
                  <c:v>241000</c:v>
                </c:pt>
                <c:pt idx="3">
                  <c:v>257000</c:v>
                </c:pt>
                <c:pt idx="4">
                  <c:v>0</c:v>
                </c:pt>
                <c:pt idx="5">
                  <c:v>134000</c:v>
                </c:pt>
                <c:pt idx="6">
                  <c:v>0</c:v>
                </c:pt>
                <c:pt idx="7">
                  <c:v>156000</c:v>
                </c:pt>
                <c:pt idx="8">
                  <c:v>0</c:v>
                </c:pt>
                <c:pt idx="9">
                  <c:v>72000</c:v>
                </c:pt>
                <c:pt idx="10">
                  <c:v>126000</c:v>
                </c:pt>
                <c:pt idx="11">
                  <c:v>83000</c:v>
                </c:pt>
                <c:pt idx="12">
                  <c:v>102000</c:v>
                </c:pt>
                <c:pt idx="1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6523736"/>
        <c:axId val="306529224"/>
      </c:barChart>
      <c:catAx>
        <c:axId val="306523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9224"/>
        <c:crosses val="autoZero"/>
        <c:auto val="1"/>
        <c:lblAlgn val="ctr"/>
        <c:lblOffset val="100"/>
        <c:noMultiLvlLbl val="0"/>
      </c:catAx>
      <c:valAx>
        <c:axId val="30652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3736"/>
        <c:crosses val="autoZero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Rep &amp; Product - Stacked (Rs)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Summary'!$B$2</c:f>
              <c:strCache>
                <c:ptCount val="1"/>
                <c:pt idx="0">
                  <c:v>CRM Software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Summary'!$A$3:$A$9</c:f>
              <c:strCache>
                <c:ptCount val="7"/>
                <c:pt idx="0">
                  <c:v>Rahul Sharma</c:v>
                </c:pt>
                <c:pt idx="1">
                  <c:v>Priya Verma</c:v>
                </c:pt>
                <c:pt idx="2">
                  <c:v>Arjun Mehta</c:v>
                </c:pt>
                <c:pt idx="3">
                  <c:v>Sneha Kapoor</c:v>
                </c:pt>
                <c:pt idx="4">
                  <c:v>Aman Gupta</c:v>
                </c:pt>
                <c:pt idx="5">
                  <c:v>Karan Singh</c:v>
                </c:pt>
                <c:pt idx="6">
                  <c:v>Pooja Iyer</c:v>
                </c:pt>
              </c:strCache>
            </c:strRef>
          </c:cat>
          <c:val>
            <c:numRef>
              <c:f>'Pivot Summary'!$B$3:$B$9</c:f>
              <c:numCache>
                <c:formatCode>General</c:formatCode>
                <c:ptCount val="7"/>
                <c:pt idx="0">
                  <c:v>519000</c:v>
                </c:pt>
                <c:pt idx="1">
                  <c:v>0</c:v>
                </c:pt>
                <c:pt idx="2">
                  <c:v>0</c:v>
                </c:pt>
                <c:pt idx="3">
                  <c:v>292000</c:v>
                </c:pt>
                <c:pt idx="4">
                  <c:v>128000</c:v>
                </c:pt>
                <c:pt idx="5">
                  <c:v>0</c:v>
                </c:pt>
                <c:pt idx="6">
                  <c:v>134000</c:v>
                </c:pt>
              </c:numCache>
            </c:numRef>
          </c:val>
        </c:ser>
        <c:ser>
          <c:idx val="1"/>
          <c:order val="1"/>
          <c:tx>
            <c:strRef>
              <c:f>'Pivot Summary'!$C$2</c:f>
              <c:strCache>
                <c:ptCount val="1"/>
                <c:pt idx="0">
                  <c:v>ERP Platform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Summary'!$A$3:$A$9</c:f>
              <c:strCache>
                <c:ptCount val="7"/>
                <c:pt idx="0">
                  <c:v>Rahul Sharma</c:v>
                </c:pt>
                <c:pt idx="1">
                  <c:v>Priya Verma</c:v>
                </c:pt>
                <c:pt idx="2">
                  <c:v>Arjun Mehta</c:v>
                </c:pt>
                <c:pt idx="3">
                  <c:v>Sneha Kapoor</c:v>
                </c:pt>
                <c:pt idx="4">
                  <c:v>Aman Gupta</c:v>
                </c:pt>
                <c:pt idx="5">
                  <c:v>Karan Singh</c:v>
                </c:pt>
                <c:pt idx="6">
                  <c:v>Pooja Iyer</c:v>
                </c:pt>
              </c:strCache>
            </c:strRef>
          </c:cat>
          <c:val>
            <c:numRef>
              <c:f>'Pivot Summary'!$C$3:$C$9</c:f>
              <c:numCache>
                <c:formatCode>General</c:formatCode>
                <c:ptCount val="7"/>
                <c:pt idx="0">
                  <c:v>0</c:v>
                </c:pt>
                <c:pt idx="1">
                  <c:v>118000</c:v>
                </c:pt>
                <c:pt idx="2">
                  <c:v>393000</c:v>
                </c:pt>
                <c:pt idx="3">
                  <c:v>138000</c:v>
                </c:pt>
                <c:pt idx="4">
                  <c:v>71000</c:v>
                </c:pt>
                <c:pt idx="5">
                  <c:v>69000</c:v>
                </c:pt>
                <c:pt idx="6">
                  <c:v>454000</c:v>
                </c:pt>
              </c:numCache>
            </c:numRef>
          </c:val>
        </c:ser>
        <c:ser>
          <c:idx val="2"/>
          <c:order val="2"/>
          <c:tx>
            <c:strRef>
              <c:f>'Pivot Summary'!$D$2</c:f>
              <c:strCache>
                <c:ptCount val="1"/>
                <c:pt idx="0">
                  <c:v>Marketing Suite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Summary'!$A$3:$A$9</c:f>
              <c:strCache>
                <c:ptCount val="7"/>
                <c:pt idx="0">
                  <c:v>Rahul Sharma</c:v>
                </c:pt>
                <c:pt idx="1">
                  <c:v>Priya Verma</c:v>
                </c:pt>
                <c:pt idx="2">
                  <c:v>Arjun Mehta</c:v>
                </c:pt>
                <c:pt idx="3">
                  <c:v>Sneha Kapoor</c:v>
                </c:pt>
                <c:pt idx="4">
                  <c:v>Aman Gupta</c:v>
                </c:pt>
                <c:pt idx="5">
                  <c:v>Karan Singh</c:v>
                </c:pt>
                <c:pt idx="6">
                  <c:v>Pooja Iyer</c:v>
                </c:pt>
              </c:strCache>
            </c:strRef>
          </c:cat>
          <c:val>
            <c:numRef>
              <c:f>'Pivot Summary'!$D$3:$D$9</c:f>
              <c:numCache>
                <c:formatCode>General</c:formatCode>
                <c:ptCount val="7"/>
                <c:pt idx="0">
                  <c:v>98000</c:v>
                </c:pt>
                <c:pt idx="1">
                  <c:v>189000</c:v>
                </c:pt>
                <c:pt idx="2">
                  <c:v>102000</c:v>
                </c:pt>
                <c:pt idx="3">
                  <c:v>0</c:v>
                </c:pt>
                <c:pt idx="4">
                  <c:v>0</c:v>
                </c:pt>
                <c:pt idx="5">
                  <c:v>164000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'Pivot Summary'!$E$2</c:f>
              <c:strCache>
                <c:ptCount val="1"/>
                <c:pt idx="0">
                  <c:v>Analytics Tool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Summary'!$A$3:$A$9</c:f>
              <c:strCache>
                <c:ptCount val="7"/>
                <c:pt idx="0">
                  <c:v>Rahul Sharma</c:v>
                </c:pt>
                <c:pt idx="1">
                  <c:v>Priya Verma</c:v>
                </c:pt>
                <c:pt idx="2">
                  <c:v>Arjun Mehta</c:v>
                </c:pt>
                <c:pt idx="3">
                  <c:v>Sneha Kapoor</c:v>
                </c:pt>
                <c:pt idx="4">
                  <c:v>Aman Gupta</c:v>
                </c:pt>
                <c:pt idx="5">
                  <c:v>Karan Singh</c:v>
                </c:pt>
                <c:pt idx="6">
                  <c:v>Pooja Iyer</c:v>
                </c:pt>
              </c:strCache>
            </c:strRef>
          </c:cat>
          <c:val>
            <c:numRef>
              <c:f>'Pivot Summary'!$E$3:$E$9</c:f>
              <c:numCache>
                <c:formatCode>General</c:formatCode>
                <c:ptCount val="7"/>
                <c:pt idx="0">
                  <c:v>0</c:v>
                </c:pt>
                <c:pt idx="1">
                  <c:v>243000</c:v>
                </c:pt>
                <c:pt idx="2">
                  <c:v>126000</c:v>
                </c:pt>
                <c:pt idx="3">
                  <c:v>0</c:v>
                </c:pt>
                <c:pt idx="4">
                  <c:v>387000</c:v>
                </c:pt>
                <c:pt idx="5">
                  <c:v>83000</c:v>
                </c:pt>
                <c:pt idx="6">
                  <c:v>232000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6521776"/>
        <c:axId val="306524128"/>
      </c:barChart>
      <c:catAx>
        <c:axId val="30652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4128"/>
        <c:crosses val="autoZero"/>
        <c:auto val="1"/>
        <c:lblAlgn val="ctr"/>
        <c:lblOffset val="100"/>
        <c:noMultiLvlLbl val="0"/>
      </c:catAx>
      <c:valAx>
        <c:axId val="30652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6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Product Revenue per</a:t>
            </a:r>
            <a:r>
              <a:rPr lang="en-IN" baseline="0"/>
              <a:t> Rep Grouped</a:t>
            </a:r>
            <a:r>
              <a:rPr lang="en-IN"/>
              <a:t> (Rs)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Summary'!$B$2</c:f>
              <c:strCache>
                <c:ptCount val="1"/>
                <c:pt idx="0">
                  <c:v>CRM Software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Summary'!$A$3:$A$9</c:f>
              <c:strCache>
                <c:ptCount val="7"/>
                <c:pt idx="0">
                  <c:v>Rahul Sharma</c:v>
                </c:pt>
                <c:pt idx="1">
                  <c:v>Priya Verma</c:v>
                </c:pt>
                <c:pt idx="2">
                  <c:v>Arjun Mehta</c:v>
                </c:pt>
                <c:pt idx="3">
                  <c:v>Sneha Kapoor</c:v>
                </c:pt>
                <c:pt idx="4">
                  <c:v>Aman Gupta</c:v>
                </c:pt>
                <c:pt idx="5">
                  <c:v>Karan Singh</c:v>
                </c:pt>
                <c:pt idx="6">
                  <c:v>Pooja Iyer</c:v>
                </c:pt>
              </c:strCache>
            </c:strRef>
          </c:cat>
          <c:val>
            <c:numRef>
              <c:f>'Pivot Summary'!$B$3:$B$9</c:f>
              <c:numCache>
                <c:formatCode>General</c:formatCode>
                <c:ptCount val="7"/>
                <c:pt idx="0">
                  <c:v>519000</c:v>
                </c:pt>
                <c:pt idx="1">
                  <c:v>0</c:v>
                </c:pt>
                <c:pt idx="2">
                  <c:v>0</c:v>
                </c:pt>
                <c:pt idx="3">
                  <c:v>292000</c:v>
                </c:pt>
                <c:pt idx="4">
                  <c:v>128000</c:v>
                </c:pt>
                <c:pt idx="5">
                  <c:v>0</c:v>
                </c:pt>
                <c:pt idx="6">
                  <c:v>134000</c:v>
                </c:pt>
              </c:numCache>
            </c:numRef>
          </c:val>
        </c:ser>
        <c:ser>
          <c:idx val="1"/>
          <c:order val="1"/>
          <c:tx>
            <c:strRef>
              <c:f>'Pivot Summary'!$C$2</c:f>
              <c:strCache>
                <c:ptCount val="1"/>
                <c:pt idx="0">
                  <c:v>ERP Platform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Summary'!$A$3:$A$9</c:f>
              <c:strCache>
                <c:ptCount val="7"/>
                <c:pt idx="0">
                  <c:v>Rahul Sharma</c:v>
                </c:pt>
                <c:pt idx="1">
                  <c:v>Priya Verma</c:v>
                </c:pt>
                <c:pt idx="2">
                  <c:v>Arjun Mehta</c:v>
                </c:pt>
                <c:pt idx="3">
                  <c:v>Sneha Kapoor</c:v>
                </c:pt>
                <c:pt idx="4">
                  <c:v>Aman Gupta</c:v>
                </c:pt>
                <c:pt idx="5">
                  <c:v>Karan Singh</c:v>
                </c:pt>
                <c:pt idx="6">
                  <c:v>Pooja Iyer</c:v>
                </c:pt>
              </c:strCache>
            </c:strRef>
          </c:cat>
          <c:val>
            <c:numRef>
              <c:f>'Pivot Summary'!$C$3:$C$9</c:f>
              <c:numCache>
                <c:formatCode>General</c:formatCode>
                <c:ptCount val="7"/>
                <c:pt idx="0">
                  <c:v>0</c:v>
                </c:pt>
                <c:pt idx="1">
                  <c:v>118000</c:v>
                </c:pt>
                <c:pt idx="2">
                  <c:v>393000</c:v>
                </c:pt>
                <c:pt idx="3">
                  <c:v>138000</c:v>
                </c:pt>
                <c:pt idx="4">
                  <c:v>71000</c:v>
                </c:pt>
                <c:pt idx="5">
                  <c:v>69000</c:v>
                </c:pt>
                <c:pt idx="6">
                  <c:v>454000</c:v>
                </c:pt>
              </c:numCache>
            </c:numRef>
          </c:val>
        </c:ser>
        <c:ser>
          <c:idx val="2"/>
          <c:order val="2"/>
          <c:tx>
            <c:strRef>
              <c:f>'Pivot Summary'!$D$2</c:f>
              <c:strCache>
                <c:ptCount val="1"/>
                <c:pt idx="0">
                  <c:v>Marketing Suite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Summary'!$A$3:$A$9</c:f>
              <c:strCache>
                <c:ptCount val="7"/>
                <c:pt idx="0">
                  <c:v>Rahul Sharma</c:v>
                </c:pt>
                <c:pt idx="1">
                  <c:v>Priya Verma</c:v>
                </c:pt>
                <c:pt idx="2">
                  <c:v>Arjun Mehta</c:v>
                </c:pt>
                <c:pt idx="3">
                  <c:v>Sneha Kapoor</c:v>
                </c:pt>
                <c:pt idx="4">
                  <c:v>Aman Gupta</c:v>
                </c:pt>
                <c:pt idx="5">
                  <c:v>Karan Singh</c:v>
                </c:pt>
                <c:pt idx="6">
                  <c:v>Pooja Iyer</c:v>
                </c:pt>
              </c:strCache>
            </c:strRef>
          </c:cat>
          <c:val>
            <c:numRef>
              <c:f>'Pivot Summary'!$D$3:$D$9</c:f>
              <c:numCache>
                <c:formatCode>General</c:formatCode>
                <c:ptCount val="7"/>
                <c:pt idx="0">
                  <c:v>98000</c:v>
                </c:pt>
                <c:pt idx="1">
                  <c:v>189000</c:v>
                </c:pt>
                <c:pt idx="2">
                  <c:v>102000</c:v>
                </c:pt>
                <c:pt idx="3">
                  <c:v>0</c:v>
                </c:pt>
                <c:pt idx="4">
                  <c:v>0</c:v>
                </c:pt>
                <c:pt idx="5">
                  <c:v>164000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'Pivot Summary'!$E$2</c:f>
              <c:strCache>
                <c:ptCount val="1"/>
                <c:pt idx="0">
                  <c:v>Analytics Tool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Summary'!$A$3:$A$9</c:f>
              <c:strCache>
                <c:ptCount val="7"/>
                <c:pt idx="0">
                  <c:v>Rahul Sharma</c:v>
                </c:pt>
                <c:pt idx="1">
                  <c:v>Priya Verma</c:v>
                </c:pt>
                <c:pt idx="2">
                  <c:v>Arjun Mehta</c:v>
                </c:pt>
                <c:pt idx="3">
                  <c:v>Sneha Kapoor</c:v>
                </c:pt>
                <c:pt idx="4">
                  <c:v>Aman Gupta</c:v>
                </c:pt>
                <c:pt idx="5">
                  <c:v>Karan Singh</c:v>
                </c:pt>
                <c:pt idx="6">
                  <c:v>Pooja Iyer</c:v>
                </c:pt>
              </c:strCache>
            </c:strRef>
          </c:cat>
          <c:val>
            <c:numRef>
              <c:f>'Pivot Summary'!$E$3:$E$9</c:f>
              <c:numCache>
                <c:formatCode>General</c:formatCode>
                <c:ptCount val="7"/>
                <c:pt idx="0">
                  <c:v>0</c:v>
                </c:pt>
                <c:pt idx="1">
                  <c:v>243000</c:v>
                </c:pt>
                <c:pt idx="2">
                  <c:v>126000</c:v>
                </c:pt>
                <c:pt idx="3">
                  <c:v>0</c:v>
                </c:pt>
                <c:pt idx="4">
                  <c:v>387000</c:v>
                </c:pt>
                <c:pt idx="5">
                  <c:v>83000</c:v>
                </c:pt>
                <c:pt idx="6">
                  <c:v>232000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522168"/>
        <c:axId val="306522952"/>
      </c:barChart>
      <c:catAx>
        <c:axId val="306522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2952"/>
        <c:crosses val="autoZero"/>
        <c:auto val="1"/>
        <c:lblAlgn val="ctr"/>
        <c:lblOffset val="100"/>
        <c:noMultiLvlLbl val="0"/>
      </c:catAx>
      <c:valAx>
        <c:axId val="306522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52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2225" cap="flat" cmpd="sng" algn="ctr">
      <a:solidFill>
        <a:schemeClr val="tx1"/>
      </a:solidFill>
      <a:round/>
    </a:ln>
    <a:effectLst/>
  </c:spPr>
  <c:txPr>
    <a:bodyPr/>
    <a:lstStyle/>
    <a:p>
      <a:pPr>
        <a:defRPr sz="1050"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31617</xdr:colOff>
      <xdr:row>12</xdr:row>
      <xdr:rowOff>107217</xdr:rowOff>
    </xdr:from>
    <xdr:to>
      <xdr:col>13</xdr:col>
      <xdr:colOff>318151</xdr:colOff>
      <xdr:row>22</xdr:row>
      <xdr:rowOff>104249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6513</xdr:colOff>
      <xdr:row>22</xdr:row>
      <xdr:rowOff>51809</xdr:rowOff>
    </xdr:from>
    <xdr:to>
      <xdr:col>13</xdr:col>
      <xdr:colOff>318655</xdr:colOff>
      <xdr:row>32</xdr:row>
      <xdr:rowOff>83126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26051</xdr:colOff>
      <xdr:row>32</xdr:row>
      <xdr:rowOff>94629</xdr:rowOff>
    </xdr:from>
    <xdr:to>
      <xdr:col>13</xdr:col>
      <xdr:colOff>304799</xdr:colOff>
      <xdr:row>41</xdr:row>
      <xdr:rowOff>138544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944359</xdr:colOff>
      <xdr:row>41</xdr:row>
      <xdr:rowOff>175160</xdr:rowOff>
    </xdr:from>
    <xdr:to>
      <xdr:col>13</xdr:col>
      <xdr:colOff>346364</xdr:colOff>
      <xdr:row>56</xdr:row>
      <xdr:rowOff>41564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333333</xdr:colOff>
      <xdr:row>12</xdr:row>
      <xdr:rowOff>81656</xdr:rowOff>
    </xdr:from>
    <xdr:to>
      <xdr:col>24</xdr:col>
      <xdr:colOff>11708</xdr:colOff>
      <xdr:row>22</xdr:row>
      <xdr:rowOff>106396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326570</xdr:colOff>
      <xdr:row>22</xdr:row>
      <xdr:rowOff>55420</xdr:rowOff>
    </xdr:from>
    <xdr:to>
      <xdr:col>24</xdr:col>
      <xdr:colOff>0</xdr:colOff>
      <xdr:row>32</xdr:row>
      <xdr:rowOff>55418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315685</xdr:colOff>
      <xdr:row>32</xdr:row>
      <xdr:rowOff>104899</xdr:rowOff>
    </xdr:from>
    <xdr:to>
      <xdr:col>24</xdr:col>
      <xdr:colOff>13855</xdr:colOff>
      <xdr:row>41</xdr:row>
      <xdr:rowOff>124690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141514</xdr:colOff>
      <xdr:row>44</xdr:row>
      <xdr:rowOff>174172</xdr:rowOff>
    </xdr:from>
    <xdr:to>
      <xdr:col>3</xdr:col>
      <xdr:colOff>108857</xdr:colOff>
      <xdr:row>52</xdr:row>
      <xdr:rowOff>32657</xdr:rowOff>
    </xdr:to>
    <xdr:sp macro="" textlink="">
      <xdr:nvSpPr>
        <xdr:cNvPr id="12" name="Text Box 1"/>
        <xdr:cNvSpPr txBox="1">
          <a:spLocks noChangeArrowheads="1"/>
        </xdr:cNvSpPr>
      </xdr:nvSpPr>
      <xdr:spPr bwMode="auto">
        <a:xfrm>
          <a:off x="141514" y="11908972"/>
          <a:ext cx="3581400" cy="1338942"/>
        </a:xfrm>
        <a:prstGeom prst="rect">
          <a:avLst/>
        </a:prstGeom>
        <a:solidFill>
          <a:schemeClr val="tx2">
            <a:lumMod val="5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400" b="1" i="0" u="none" strike="noStrike" baseline="0">
              <a:solidFill>
                <a:schemeClr val="bg1"/>
              </a:solidFill>
              <a:latin typeface="Calibri"/>
              <a:cs typeface="Calibri"/>
            </a:rPr>
            <a:t>Pipeline Risk Alert</a:t>
          </a:r>
        </a:p>
        <a:p>
          <a:pPr algn="l" rtl="0">
            <a:defRPr sz="1000"/>
          </a:pPr>
          <a:r>
            <a:rPr lang="en-IN" sz="1400" b="1" i="0" u="none" strike="noStrike" baseline="0">
              <a:solidFill>
                <a:schemeClr val="bg1"/>
              </a:solidFill>
              <a:latin typeface="Calibri"/>
              <a:cs typeface="Calibri"/>
            </a:rPr>
            <a:t>Karan Singh has 4 open deals worth ₹3.16L with no closed wins. This represents a high-value pipeline requiring timely follow-up to improve conversion and reduce revenue risk.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12</xdr:row>
      <xdr:rowOff>15240</xdr:rowOff>
    </xdr:from>
    <xdr:to>
      <xdr:col>6</xdr:col>
      <xdr:colOff>297180</xdr:colOff>
      <xdr:row>28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335280</xdr:colOff>
      <xdr:row>12</xdr:row>
      <xdr:rowOff>30480</xdr:rowOff>
    </xdr:from>
    <xdr:to>
      <xdr:col>11</xdr:col>
      <xdr:colOff>579120</xdr:colOff>
      <xdr:row>27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29</xdr:row>
      <xdr:rowOff>17583</xdr:rowOff>
    </xdr:from>
    <xdr:to>
      <xdr:col>6</xdr:col>
      <xdr:colOff>293076</xdr:colOff>
      <xdr:row>44</xdr:row>
      <xdr:rowOff>5862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383510</xdr:colOff>
      <xdr:row>29</xdr:row>
      <xdr:rowOff>34331</xdr:rowOff>
    </xdr:from>
    <xdr:to>
      <xdr:col>11</xdr:col>
      <xdr:colOff>544284</xdr:colOff>
      <xdr:row>44</xdr:row>
      <xdr:rowOff>16747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7620</xdr:rowOff>
    </xdr:from>
    <xdr:to>
      <xdr:col>4</xdr:col>
      <xdr:colOff>929640</xdr:colOff>
      <xdr:row>24</xdr:row>
      <xdr:rowOff>7620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1028700</xdr:colOff>
      <xdr:row>9</xdr:row>
      <xdr:rowOff>7620</xdr:rowOff>
    </xdr:from>
    <xdr:to>
      <xdr:col>8</xdr:col>
      <xdr:colOff>327660</xdr:colOff>
      <xdr:row>24</xdr:row>
      <xdr:rowOff>7620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25</xdr:row>
      <xdr:rowOff>53340</xdr:rowOff>
    </xdr:from>
    <xdr:to>
      <xdr:col>4</xdr:col>
      <xdr:colOff>929640</xdr:colOff>
      <xdr:row>40</xdr:row>
      <xdr:rowOff>53340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7620</xdr:rowOff>
    </xdr:from>
    <xdr:to>
      <xdr:col>5</xdr:col>
      <xdr:colOff>106680</xdr:colOff>
      <xdr:row>39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18</xdr:row>
      <xdr:rowOff>38100</xdr:rowOff>
    </xdr:from>
    <xdr:to>
      <xdr:col>13</xdr:col>
      <xdr:colOff>0</xdr:colOff>
      <xdr:row>38</xdr:row>
      <xdr:rowOff>160020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</xdr:colOff>
      <xdr:row>39</xdr:row>
      <xdr:rowOff>121920</xdr:rowOff>
    </xdr:from>
    <xdr:to>
      <xdr:col>5</xdr:col>
      <xdr:colOff>152400</xdr:colOff>
      <xdr:row>60</xdr:row>
      <xdr:rowOff>114300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11</xdr:row>
      <xdr:rowOff>15240</xdr:rowOff>
    </xdr:from>
    <xdr:to>
      <xdr:col>4</xdr:col>
      <xdr:colOff>792480</xdr:colOff>
      <xdr:row>27</xdr:row>
      <xdr:rowOff>160020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15240</xdr:colOff>
      <xdr:row>11</xdr:row>
      <xdr:rowOff>7620</xdr:rowOff>
    </xdr:from>
    <xdr:to>
      <xdr:col>12</xdr:col>
      <xdr:colOff>533400</xdr:colOff>
      <xdr:row>27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121920</xdr:colOff>
      <xdr:row>1</xdr:row>
      <xdr:rowOff>167640</xdr:rowOff>
    </xdr:from>
    <xdr:to>
      <xdr:col>11</xdr:col>
      <xdr:colOff>205740</xdr:colOff>
      <xdr:row>6</xdr:row>
      <xdr:rowOff>91440</xdr:rowOff>
    </xdr:to>
    <xdr:sp macro="" textlink="">
      <xdr:nvSpPr>
        <xdr:cNvPr id="5121" name="Text Box 1"/>
        <xdr:cNvSpPr txBox="1">
          <a:spLocks noChangeArrowheads="1"/>
        </xdr:cNvSpPr>
      </xdr:nvSpPr>
      <xdr:spPr bwMode="auto">
        <a:xfrm>
          <a:off x="5920740" y="533400"/>
          <a:ext cx="3131820" cy="1104900"/>
        </a:xfrm>
        <a:prstGeom prst="rect">
          <a:avLst/>
        </a:prstGeom>
        <a:solidFill>
          <a:schemeClr val="tx2">
            <a:lumMod val="50000"/>
          </a:schemeClr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IN" sz="1200" b="1" i="0" u="none" strike="noStrike" baseline="0">
              <a:solidFill>
                <a:schemeClr val="bg1"/>
              </a:solidFill>
              <a:latin typeface="Calibri"/>
              <a:cs typeface="Calibri"/>
            </a:rPr>
            <a:t>Pipeline Risk Alert</a:t>
          </a:r>
        </a:p>
        <a:p>
          <a:pPr algn="l" rtl="0">
            <a:defRPr sz="1000"/>
          </a:pPr>
          <a:r>
            <a:rPr lang="en-IN" sz="1200" b="1" i="0" u="none" strike="noStrike" baseline="0">
              <a:solidFill>
                <a:schemeClr val="bg1"/>
              </a:solidFill>
              <a:latin typeface="Calibri"/>
              <a:cs typeface="Calibri"/>
            </a:rPr>
            <a:t>Karan Singh has 4 open deals worth ₹3.16L with no closed wins. This represents a high-value pipeline requiring timely follow-up to improve conversion and reduce revenue risk.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CRM_Data" displayName="CRM_Data" ref="A2:Q32" totalsRowShown="0" headerRowDxfId="13">
  <autoFilter ref="A2:Q32"/>
  <tableColumns count="17">
    <tableColumn id="1" name="Deal_ID"/>
    <tableColumn id="2" name="Customer_Name"/>
    <tableColumn id="3" name="Industry"/>
    <tableColumn id="4" name="Region"/>
    <tableColumn id="5" name="Country"/>
    <tableColumn id="6" name="Sales_Rep"/>
    <tableColumn id="7" name="Lead_Source"/>
    <tableColumn id="8" name="Product"/>
    <tableColumn id="9" name="Deal_Stage"/>
    <tableColumn id="10" name="Status"/>
    <tableColumn id="11" name="Deal_Value"/>
    <tableColumn id="12" name="Expected_Close_Date" dataDxfId="12"/>
    <tableColumn id="13" name="Actual_Close_Date" dataDxfId="11"/>
    <tableColumn id="14" name="Sales_Cycle_Days"/>
    <tableColumn id="15" name="Customer_Size"/>
    <tableColumn id="16" name="Monthly_Recurring_Revenue"/>
    <tableColumn id="17" name="Customer_Satisfaction_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2:G8" totalsRowShown="0" headerRowDxfId="10" headerRowBorderDxfId="9" tableBorderDxfId="8">
  <tableColumns count="7">
    <tableColumn id="1" name="Stage"/>
    <tableColumn id="2" name="Deals"/>
    <tableColumn id="3" name="Total Value (Rs)"/>
    <tableColumn id="4" name="Conv .Rate" dataDxfId="7"/>
    <tableColumn id="5" name="Avg Deal (Rs)" dataDxfId="6"/>
    <tableColumn id="6" name="Drop Off" dataDxfId="5" dataCellStyle="Percent"/>
    <tableColumn id="7" name="Recommended Action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6FF"/>
  </sheetPr>
  <dimension ref="A1:X234"/>
  <sheetViews>
    <sheetView tabSelected="1" topLeftCell="A25" zoomScale="70" zoomScaleNormal="70" workbookViewId="0">
      <selection activeCell="A45" sqref="A45:E67"/>
    </sheetView>
  </sheetViews>
  <sheetFormatPr defaultRowHeight="14.4" x14ac:dyDescent="0.3"/>
  <cols>
    <col min="1" max="1" width="22.21875" bestFit="1" customWidth="1"/>
    <col min="2" max="2" width="8.88671875" bestFit="1" customWidth="1"/>
    <col min="3" max="3" width="21.5546875" bestFit="1" customWidth="1"/>
    <col min="4" max="4" width="24.44140625" bestFit="1" customWidth="1"/>
    <col min="5" max="5" width="13.88671875" bestFit="1" customWidth="1"/>
  </cols>
  <sheetData>
    <row r="1" spans="1:24" ht="28.8" x14ac:dyDescent="0.3">
      <c r="A1" s="175" t="s">
        <v>158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spans="1:24" ht="15.6" x14ac:dyDescent="0.3">
      <c r="A2" s="176" t="s">
        <v>159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</row>
    <row r="3" spans="1:24" x14ac:dyDescent="0.3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</row>
    <row r="4" spans="1:24" ht="14.4" customHeight="1" x14ac:dyDescent="0.3">
      <c r="A4" s="177">
        <f>SUMIFS(CRM_Data!K:K,CRM_Data!J:J,"Won")</f>
        <v>2244000</v>
      </c>
      <c r="B4" s="177"/>
      <c r="C4" s="177"/>
      <c r="D4" s="177"/>
      <c r="E4" s="177"/>
      <c r="F4" s="179">
        <f>SUM('Industry Analysis'!D3:D17)</f>
        <v>1483000</v>
      </c>
      <c r="G4" s="179"/>
      <c r="H4" s="179"/>
      <c r="I4" s="179"/>
      <c r="J4" s="179"/>
      <c r="K4" s="181">
        <f>Rep_Performance!C11</f>
        <v>13</v>
      </c>
      <c r="L4" s="181"/>
      <c r="M4" s="181"/>
      <c r="N4" s="181"/>
      <c r="O4" s="168">
        <f>Rep_Performance!H11</f>
        <v>0.43333333333333335</v>
      </c>
      <c r="P4" s="169"/>
      <c r="Q4" s="169"/>
      <c r="R4" s="169"/>
      <c r="S4" s="172">
        <f>'Funnel Analysis'!E3</f>
        <v>172615.38461538462</v>
      </c>
      <c r="T4" s="172"/>
      <c r="U4" s="172"/>
      <c r="V4" s="172"/>
      <c r="W4" s="172"/>
      <c r="X4" s="172"/>
    </row>
    <row r="5" spans="1:24" ht="14.4" customHeight="1" x14ac:dyDescent="0.3">
      <c r="A5" s="177"/>
      <c r="B5" s="177"/>
      <c r="C5" s="177"/>
      <c r="D5" s="177"/>
      <c r="E5" s="177"/>
      <c r="F5" s="179"/>
      <c r="G5" s="179"/>
      <c r="H5" s="179"/>
      <c r="I5" s="179"/>
      <c r="J5" s="179"/>
      <c r="K5" s="181"/>
      <c r="L5" s="181"/>
      <c r="M5" s="181"/>
      <c r="N5" s="181"/>
      <c r="O5" s="168"/>
      <c r="P5" s="169"/>
      <c r="Q5" s="169"/>
      <c r="R5" s="169"/>
      <c r="S5" s="172"/>
      <c r="T5" s="172"/>
      <c r="U5" s="172"/>
      <c r="V5" s="172"/>
      <c r="W5" s="172"/>
      <c r="X5" s="172"/>
    </row>
    <row r="6" spans="1:24" ht="14.4" customHeight="1" x14ac:dyDescent="0.3">
      <c r="A6" s="177"/>
      <c r="B6" s="177"/>
      <c r="C6" s="177"/>
      <c r="D6" s="177"/>
      <c r="E6" s="177"/>
      <c r="F6" s="179"/>
      <c r="G6" s="179"/>
      <c r="H6" s="179"/>
      <c r="I6" s="179"/>
      <c r="J6" s="179"/>
      <c r="K6" s="181"/>
      <c r="L6" s="181"/>
      <c r="M6" s="181"/>
      <c r="N6" s="181"/>
      <c r="O6" s="168"/>
      <c r="P6" s="169"/>
      <c r="Q6" s="169"/>
      <c r="R6" s="169"/>
      <c r="S6" s="172"/>
      <c r="T6" s="172"/>
      <c r="U6" s="172"/>
      <c r="V6" s="172"/>
      <c r="W6" s="172"/>
      <c r="X6" s="172"/>
    </row>
    <row r="7" spans="1:24" x14ac:dyDescent="0.3">
      <c r="A7" s="178" t="s">
        <v>160</v>
      </c>
      <c r="B7" s="178"/>
      <c r="C7" s="178"/>
      <c r="D7" s="178"/>
      <c r="E7" s="178"/>
      <c r="F7" s="180" t="s">
        <v>161</v>
      </c>
      <c r="G7" s="180"/>
      <c r="H7" s="180"/>
      <c r="I7" s="180"/>
      <c r="J7" s="180"/>
      <c r="K7" s="167" t="s">
        <v>162</v>
      </c>
      <c r="L7" s="167"/>
      <c r="M7" s="167"/>
      <c r="N7" s="167"/>
      <c r="O7" s="170" t="s">
        <v>136</v>
      </c>
      <c r="P7" s="171"/>
      <c r="Q7" s="171"/>
      <c r="R7" s="171"/>
      <c r="S7" s="156" t="s">
        <v>163</v>
      </c>
      <c r="T7" s="156"/>
      <c r="U7" s="156"/>
      <c r="V7" s="156"/>
      <c r="W7" s="156"/>
      <c r="X7" s="156"/>
    </row>
    <row r="8" spans="1:24" x14ac:dyDescent="0.3">
      <c r="A8" s="157"/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</row>
    <row r="9" spans="1:24" x14ac:dyDescent="0.3">
      <c r="A9" s="173">
        <f>Rep_Performance!D11</f>
        <v>3</v>
      </c>
      <c r="B9" s="173"/>
      <c r="C9" s="173"/>
      <c r="D9" s="173"/>
      <c r="E9" s="173"/>
      <c r="F9" s="161">
        <f>COUNTIF(CRM_Data!I:I,"Negotiation")</f>
        <v>6</v>
      </c>
      <c r="G9" s="161"/>
      <c r="H9" s="161"/>
      <c r="I9" s="161"/>
      <c r="J9" s="161"/>
      <c r="K9" s="163">
        <f>SUMIFS(CRM_Data!P:P,CRM_Data!I:I,"Won")</f>
        <v>262000</v>
      </c>
      <c r="L9" s="163"/>
      <c r="M9" s="163"/>
      <c r="N9" s="163"/>
      <c r="O9" s="165">
        <f>AVERAGEIF(CRM_Data!I:I,"Won",CRM_Data!N:N)</f>
        <v>25.615384615384617</v>
      </c>
      <c r="P9" s="165"/>
      <c r="Q9" s="165"/>
      <c r="R9" s="165"/>
      <c r="S9" s="174">
        <f>Rep_Performance!J11</f>
        <v>8.0285714285714285</v>
      </c>
      <c r="T9" s="174"/>
      <c r="U9" s="174"/>
      <c r="V9" s="174"/>
      <c r="W9" s="174"/>
      <c r="X9" s="174"/>
    </row>
    <row r="10" spans="1:24" x14ac:dyDescent="0.3">
      <c r="A10" s="173"/>
      <c r="B10" s="173"/>
      <c r="C10" s="173"/>
      <c r="D10" s="173"/>
      <c r="E10" s="173"/>
      <c r="F10" s="161"/>
      <c r="G10" s="161"/>
      <c r="H10" s="161"/>
      <c r="I10" s="161"/>
      <c r="J10" s="161"/>
      <c r="K10" s="163"/>
      <c r="L10" s="163"/>
      <c r="M10" s="163"/>
      <c r="N10" s="163"/>
      <c r="O10" s="165"/>
      <c r="P10" s="165"/>
      <c r="Q10" s="165"/>
      <c r="R10" s="165"/>
      <c r="S10" s="174"/>
      <c r="T10" s="174"/>
      <c r="U10" s="174"/>
      <c r="V10" s="174"/>
      <c r="W10" s="174"/>
      <c r="X10" s="174"/>
    </row>
    <row r="11" spans="1:24" x14ac:dyDescent="0.3">
      <c r="A11" s="173"/>
      <c r="B11" s="173"/>
      <c r="C11" s="173"/>
      <c r="D11" s="173"/>
      <c r="E11" s="173"/>
      <c r="F11" s="161"/>
      <c r="G11" s="161"/>
      <c r="H11" s="161"/>
      <c r="I11" s="161"/>
      <c r="J11" s="161"/>
      <c r="K11" s="163"/>
      <c r="L11" s="163"/>
      <c r="M11" s="163"/>
      <c r="N11" s="163"/>
      <c r="O11" s="165"/>
      <c r="P11" s="165"/>
      <c r="Q11" s="165"/>
      <c r="R11" s="165"/>
      <c r="S11" s="174"/>
      <c r="T11" s="174"/>
      <c r="U11" s="174"/>
      <c r="V11" s="174"/>
      <c r="W11" s="174"/>
      <c r="X11" s="174"/>
    </row>
    <row r="12" spans="1:24" x14ac:dyDescent="0.3">
      <c r="A12" s="160" t="s">
        <v>164</v>
      </c>
      <c r="B12" s="160"/>
      <c r="C12" s="160"/>
      <c r="D12" s="160"/>
      <c r="E12" s="160"/>
      <c r="F12" s="162" t="s">
        <v>165</v>
      </c>
      <c r="G12" s="162"/>
      <c r="H12" s="162"/>
      <c r="I12" s="162"/>
      <c r="J12" s="162"/>
      <c r="K12" s="164" t="s">
        <v>166</v>
      </c>
      <c r="L12" s="164"/>
      <c r="M12" s="164"/>
      <c r="N12" s="164"/>
      <c r="O12" s="166" t="s">
        <v>167</v>
      </c>
      <c r="P12" s="166"/>
      <c r="Q12" s="166"/>
      <c r="R12" s="166"/>
      <c r="S12" s="156" t="s">
        <v>168</v>
      </c>
      <c r="T12" s="156"/>
      <c r="U12" s="156"/>
      <c r="V12" s="156"/>
      <c r="W12" s="156"/>
      <c r="X12" s="156"/>
    </row>
    <row r="13" spans="1:24" ht="21" x14ac:dyDescent="0.3">
      <c r="A13" s="158" t="s">
        <v>169</v>
      </c>
      <c r="B13" s="158"/>
      <c r="C13" s="158"/>
      <c r="D13" s="158"/>
      <c r="E13" s="158"/>
      <c r="F13" s="141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</row>
    <row r="14" spans="1:24" ht="21" x14ac:dyDescent="0.4">
      <c r="A14" s="107" t="s">
        <v>141</v>
      </c>
      <c r="B14" s="108" t="s">
        <v>142</v>
      </c>
      <c r="C14" s="108" t="s">
        <v>134</v>
      </c>
      <c r="D14" s="109" t="s">
        <v>126</v>
      </c>
      <c r="E14" s="119" t="s">
        <v>170</v>
      </c>
      <c r="F14" s="141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</row>
    <row r="15" spans="1:24" ht="21" x14ac:dyDescent="0.4">
      <c r="A15" s="110" t="str">
        <f>CRM_Data[Deal_Stage]</f>
        <v>Negotiation</v>
      </c>
      <c r="B15" s="110">
        <f>COUNTIFS(CRM_Data!I:I,A15)</f>
        <v>6</v>
      </c>
      <c r="C15" s="110">
        <f>SUMIFS(CRM_Data!K:K,CRM_Data!I:I,A15)</f>
        <v>737000</v>
      </c>
      <c r="D15" s="110">
        <v>0</v>
      </c>
      <c r="E15" s="120">
        <f>B15/$B$19</f>
        <v>0.23076923076923078</v>
      </c>
      <c r="F15" s="141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</row>
    <row r="16" spans="1:24" ht="21" x14ac:dyDescent="0.4">
      <c r="A16" s="111" t="str">
        <f>CRM_Data[Deal_Stage]</f>
        <v>Won</v>
      </c>
      <c r="B16" s="111">
        <f>COUNTIFS(CRM_Data!I:I,A16)</f>
        <v>13</v>
      </c>
      <c r="C16" s="111">
        <f>SUMIFS(CRM_Data!K:K,CRM_Data!I:I,A16)</f>
        <v>2244000</v>
      </c>
      <c r="D16" s="111">
        <v>0</v>
      </c>
      <c r="E16" s="121">
        <f>B16/$B$19</f>
        <v>0.5</v>
      </c>
      <c r="F16" s="141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</row>
    <row r="17" spans="1:24" ht="21" x14ac:dyDescent="0.4">
      <c r="A17" s="112" t="str">
        <f>CRM_Data[Deal_Stage]</f>
        <v>Lost</v>
      </c>
      <c r="B17" s="112">
        <f>COUNTIFS(CRM_Data!I:I,A17)</f>
        <v>3</v>
      </c>
      <c r="C17" s="112">
        <f>SUMIFS(CRM_Data!K:K,CRM_Data!I:I,A17)</f>
        <v>213000</v>
      </c>
      <c r="D17" s="113">
        <v>0</v>
      </c>
      <c r="E17" s="122">
        <f>B17/$B$19</f>
        <v>0.11538461538461539</v>
      </c>
      <c r="F17" s="141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</row>
    <row r="18" spans="1:24" ht="21" x14ac:dyDescent="0.4">
      <c r="A18" s="112" t="s">
        <v>62</v>
      </c>
      <c r="B18" s="112">
        <f>COUNTIFS(CRM_Data!I:I,A18)</f>
        <v>4</v>
      </c>
      <c r="C18" s="112">
        <f>SUMIFS(CRM_Data!K:K,CRM_Data!I:I,A18)</f>
        <v>292000</v>
      </c>
      <c r="D18" s="113">
        <v>0</v>
      </c>
      <c r="E18" s="122">
        <f>B18/$B$19</f>
        <v>0.15384615384615385</v>
      </c>
      <c r="F18" s="141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</row>
    <row r="19" spans="1:24" ht="21" x14ac:dyDescent="0.4">
      <c r="A19" s="114" t="s">
        <v>121</v>
      </c>
      <c r="B19" s="114">
        <f>SUM(B15:B18)</f>
        <v>26</v>
      </c>
      <c r="C19" s="115">
        <f>SUM(C15:C18)</f>
        <v>3486000</v>
      </c>
      <c r="D19" s="116">
        <f>C15</f>
        <v>737000</v>
      </c>
      <c r="E19" s="123"/>
      <c r="F19" s="141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</row>
    <row r="20" spans="1:24" x14ac:dyDescent="0.3">
      <c r="A20" s="150"/>
      <c r="B20" s="150"/>
      <c r="C20" s="150"/>
      <c r="D20" s="150"/>
      <c r="E20" s="151"/>
      <c r="F20" s="141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</row>
    <row r="21" spans="1:24" ht="21" x14ac:dyDescent="0.3">
      <c r="A21" s="159" t="s">
        <v>171</v>
      </c>
      <c r="B21" s="159"/>
      <c r="C21" s="159"/>
      <c r="D21" s="159"/>
      <c r="E21" s="159"/>
      <c r="F21" s="141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</row>
    <row r="22" spans="1:24" ht="42" customHeight="1" x14ac:dyDescent="0.3">
      <c r="A22" s="96" t="s">
        <v>3</v>
      </c>
      <c r="B22" s="96" t="s">
        <v>142</v>
      </c>
      <c r="C22" s="96" t="s">
        <v>172</v>
      </c>
      <c r="D22" s="96" t="s">
        <v>173</v>
      </c>
      <c r="E22" s="124" t="s">
        <v>174</v>
      </c>
      <c r="F22" s="141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</row>
    <row r="23" spans="1:24" ht="21" x14ac:dyDescent="0.3">
      <c r="A23" s="97" t="s">
        <v>20</v>
      </c>
      <c r="B23" s="98">
        <v>8</v>
      </c>
      <c r="C23" s="98">
        <v>1244000</v>
      </c>
      <c r="D23" s="98">
        <v>807000</v>
      </c>
      <c r="E23" s="125">
        <v>437000</v>
      </c>
      <c r="F23" s="141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</row>
    <row r="24" spans="1:24" ht="21" x14ac:dyDescent="0.3">
      <c r="A24" s="99" t="s">
        <v>30</v>
      </c>
      <c r="B24" s="100">
        <v>8</v>
      </c>
      <c r="C24" s="100">
        <v>1044000</v>
      </c>
      <c r="D24" s="100">
        <v>555000</v>
      </c>
      <c r="E24" s="126">
        <v>418000</v>
      </c>
      <c r="F24" s="141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</row>
    <row r="25" spans="1:24" ht="21" x14ac:dyDescent="0.3">
      <c r="A25" s="101" t="s">
        <v>48</v>
      </c>
      <c r="B25" s="102">
        <v>7</v>
      </c>
      <c r="C25" s="102">
        <v>944000</v>
      </c>
      <c r="D25" s="102">
        <v>657000</v>
      </c>
      <c r="E25" s="127">
        <v>209000</v>
      </c>
      <c r="F25" s="141"/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</row>
    <row r="26" spans="1:24" ht="21" x14ac:dyDescent="0.3">
      <c r="A26" s="103" t="s">
        <v>40</v>
      </c>
      <c r="B26" s="104">
        <v>7</v>
      </c>
      <c r="C26" s="104">
        <v>708000</v>
      </c>
      <c r="D26" s="104">
        <v>225000</v>
      </c>
      <c r="E26" s="128">
        <v>419000</v>
      </c>
      <c r="F26" s="141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</row>
    <row r="27" spans="1:24" ht="21" x14ac:dyDescent="0.3">
      <c r="A27" s="105" t="s">
        <v>156</v>
      </c>
      <c r="B27" s="106">
        <v>30</v>
      </c>
      <c r="C27" s="105">
        <v>3940000</v>
      </c>
      <c r="D27" s="105">
        <v>2244000</v>
      </c>
      <c r="E27" s="129">
        <v>1483000</v>
      </c>
      <c r="F27" s="141"/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</row>
    <row r="28" spans="1:24" x14ac:dyDescent="0.3">
      <c r="A28" s="152"/>
      <c r="B28" s="152"/>
      <c r="C28" s="152"/>
      <c r="D28" s="152"/>
      <c r="E28" s="153"/>
      <c r="F28" s="141"/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</row>
    <row r="29" spans="1:24" ht="21" x14ac:dyDescent="0.3">
      <c r="A29" s="159" t="s">
        <v>175</v>
      </c>
      <c r="B29" s="159"/>
      <c r="C29" s="159"/>
      <c r="D29" s="159"/>
      <c r="E29" s="159"/>
      <c r="F29" s="141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</row>
    <row r="30" spans="1:24" ht="42" customHeight="1" x14ac:dyDescent="0.3">
      <c r="A30" s="96" t="s">
        <v>7</v>
      </c>
      <c r="B30" s="96" t="s">
        <v>142</v>
      </c>
      <c r="C30" s="96" t="s">
        <v>134</v>
      </c>
      <c r="D30" s="96" t="s">
        <v>173</v>
      </c>
      <c r="E30" s="124" t="s">
        <v>136</v>
      </c>
      <c r="F30" s="141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</row>
    <row r="31" spans="1:24" ht="21" x14ac:dyDescent="0.3">
      <c r="A31" s="97" t="s">
        <v>24</v>
      </c>
      <c r="B31" s="98">
        <v>9</v>
      </c>
      <c r="C31" s="98">
        <v>1073000</v>
      </c>
      <c r="D31" s="98">
        <f>SUMIFS(CRM_Data!K:K,CRM_Data!J:J,"Won")</f>
        <v>2244000</v>
      </c>
      <c r="E31" s="130">
        <v>0.33300000000000002</v>
      </c>
      <c r="F31" s="141"/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</row>
    <row r="32" spans="1:24" ht="21" x14ac:dyDescent="0.3">
      <c r="A32" s="101" t="s">
        <v>43</v>
      </c>
      <c r="B32" s="102">
        <v>8</v>
      </c>
      <c r="C32" s="102">
        <v>1243000</v>
      </c>
      <c r="D32" s="98">
        <v>0</v>
      </c>
      <c r="E32" s="131">
        <v>0.5</v>
      </c>
      <c r="F32" s="141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</row>
    <row r="33" spans="1:24" ht="21" x14ac:dyDescent="0.3">
      <c r="A33" s="99" t="s">
        <v>33</v>
      </c>
      <c r="B33" s="100">
        <v>6</v>
      </c>
      <c r="C33" s="100">
        <v>553000</v>
      </c>
      <c r="D33" s="98">
        <v>0</v>
      </c>
      <c r="E33" s="132">
        <v>0.33300000000000002</v>
      </c>
      <c r="F33" s="141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</row>
    <row r="34" spans="1:24" ht="21" x14ac:dyDescent="0.3">
      <c r="A34" s="103" t="s">
        <v>58</v>
      </c>
      <c r="B34" s="104">
        <v>7</v>
      </c>
      <c r="C34" s="104">
        <v>1071000</v>
      </c>
      <c r="D34" s="98">
        <v>0</v>
      </c>
      <c r="E34" s="133">
        <v>0.57099999999999995</v>
      </c>
      <c r="F34" s="141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</row>
    <row r="35" spans="1:24" ht="21" x14ac:dyDescent="0.3">
      <c r="A35" s="105" t="s">
        <v>156</v>
      </c>
      <c r="B35" s="105">
        <v>30</v>
      </c>
      <c r="C35" s="105">
        <v>3940000</v>
      </c>
      <c r="D35" s="105">
        <v>2244000</v>
      </c>
      <c r="E35" s="134"/>
      <c r="F35" s="141"/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</row>
    <row r="36" spans="1:24" ht="21" x14ac:dyDescent="0.4">
      <c r="A36" s="154"/>
      <c r="B36" s="154"/>
      <c r="C36" s="154"/>
      <c r="D36" s="154"/>
      <c r="E36" s="155"/>
      <c r="F36" s="141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</row>
    <row r="37" spans="1:24" ht="21" x14ac:dyDescent="0.3">
      <c r="A37" s="159" t="s">
        <v>176</v>
      </c>
      <c r="B37" s="159"/>
      <c r="C37" s="159"/>
      <c r="D37" s="159"/>
      <c r="E37" s="159"/>
      <c r="F37" s="141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</row>
    <row r="38" spans="1:24" ht="42" customHeight="1" x14ac:dyDescent="0.3">
      <c r="A38" s="96" t="s">
        <v>177</v>
      </c>
      <c r="B38" s="96" t="s">
        <v>178</v>
      </c>
      <c r="C38" s="96" t="s">
        <v>179</v>
      </c>
      <c r="D38" s="96" t="s">
        <v>25</v>
      </c>
      <c r="E38" s="124" t="s">
        <v>136</v>
      </c>
      <c r="F38" s="141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</row>
    <row r="39" spans="1:24" ht="21" x14ac:dyDescent="0.3">
      <c r="A39" s="97" t="s">
        <v>23</v>
      </c>
      <c r="B39" s="98">
        <v>6</v>
      </c>
      <c r="C39" s="98">
        <v>882000</v>
      </c>
      <c r="D39" s="98">
        <v>3</v>
      </c>
      <c r="E39" s="130">
        <v>0.5</v>
      </c>
      <c r="F39" s="141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</row>
    <row r="40" spans="1:24" ht="21" x14ac:dyDescent="0.3">
      <c r="A40" s="101" t="s">
        <v>32</v>
      </c>
      <c r="B40" s="102">
        <v>8</v>
      </c>
      <c r="C40" s="102">
        <v>1082000</v>
      </c>
      <c r="D40" s="102">
        <v>3</v>
      </c>
      <c r="E40" s="131">
        <v>0.375</v>
      </c>
      <c r="F40" s="141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</row>
    <row r="41" spans="1:24" ht="21" x14ac:dyDescent="0.3">
      <c r="A41" s="99" t="s">
        <v>42</v>
      </c>
      <c r="B41" s="100">
        <v>7</v>
      </c>
      <c r="C41" s="100">
        <v>892000</v>
      </c>
      <c r="D41" s="100">
        <v>4</v>
      </c>
      <c r="E41" s="132">
        <v>0.57099999999999995</v>
      </c>
      <c r="F41" s="141"/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</row>
    <row r="42" spans="1:24" ht="21" x14ac:dyDescent="0.3">
      <c r="A42" s="103" t="s">
        <v>50</v>
      </c>
      <c r="B42" s="104">
        <v>4</v>
      </c>
      <c r="C42" s="104">
        <v>320000</v>
      </c>
      <c r="D42" s="104">
        <v>0</v>
      </c>
      <c r="E42" s="133">
        <v>0</v>
      </c>
      <c r="F42" s="141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</row>
    <row r="43" spans="1:24" ht="21" x14ac:dyDescent="0.3">
      <c r="A43" s="117" t="s">
        <v>57</v>
      </c>
      <c r="B43" s="118">
        <v>5</v>
      </c>
      <c r="C43" s="118">
        <v>764000</v>
      </c>
      <c r="D43" s="118">
        <v>3</v>
      </c>
      <c r="E43" s="135">
        <v>0.6</v>
      </c>
      <c r="F43" s="141"/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</row>
    <row r="44" spans="1:24" ht="21" x14ac:dyDescent="0.3">
      <c r="A44" s="136" t="s">
        <v>156</v>
      </c>
      <c r="B44" s="137">
        <v>30</v>
      </c>
      <c r="C44" s="136">
        <v>3940000</v>
      </c>
      <c r="D44" s="137">
        <v>13</v>
      </c>
      <c r="E44" s="138">
        <v>0.433</v>
      </c>
      <c r="F44" s="141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</row>
    <row r="45" spans="1:24" x14ac:dyDescent="0.3">
      <c r="A45" s="143"/>
      <c r="B45" s="144"/>
      <c r="C45" s="144"/>
      <c r="D45" s="144"/>
      <c r="E45" s="145"/>
      <c r="F45" s="141"/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</row>
    <row r="46" spans="1:24" x14ac:dyDescent="0.3">
      <c r="A46" s="141"/>
      <c r="B46" s="142"/>
      <c r="C46" s="142"/>
      <c r="D46" s="142"/>
      <c r="E46" s="146"/>
      <c r="F46" s="141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</row>
    <row r="47" spans="1:24" x14ac:dyDescent="0.3">
      <c r="A47" s="141"/>
      <c r="B47" s="142"/>
      <c r="C47" s="142"/>
      <c r="D47" s="142"/>
      <c r="E47" s="146"/>
      <c r="F47" s="141"/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</row>
    <row r="48" spans="1:24" x14ac:dyDescent="0.3">
      <c r="A48" s="141"/>
      <c r="B48" s="142"/>
      <c r="C48" s="142"/>
      <c r="D48" s="142"/>
      <c r="E48" s="146"/>
      <c r="F48" s="141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</row>
    <row r="49" spans="1:24" x14ac:dyDescent="0.3">
      <c r="A49" s="141"/>
      <c r="B49" s="142"/>
      <c r="C49" s="142"/>
      <c r="D49" s="142"/>
      <c r="E49" s="146"/>
      <c r="F49" s="141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</row>
    <row r="50" spans="1:24" x14ac:dyDescent="0.3">
      <c r="A50" s="141"/>
      <c r="B50" s="142"/>
      <c r="C50" s="142"/>
      <c r="D50" s="142"/>
      <c r="E50" s="146"/>
      <c r="F50" s="141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</row>
    <row r="51" spans="1:24" x14ac:dyDescent="0.3">
      <c r="A51" s="141"/>
      <c r="B51" s="142"/>
      <c r="C51" s="142"/>
      <c r="D51" s="142"/>
      <c r="E51" s="146"/>
      <c r="F51" s="141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</row>
    <row r="52" spans="1:24" x14ac:dyDescent="0.3">
      <c r="A52" s="141"/>
      <c r="B52" s="142"/>
      <c r="C52" s="142"/>
      <c r="D52" s="142"/>
      <c r="E52" s="146"/>
      <c r="F52" s="141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</row>
    <row r="53" spans="1:24" x14ac:dyDescent="0.3">
      <c r="A53" s="141"/>
      <c r="B53" s="142"/>
      <c r="C53" s="142"/>
      <c r="D53" s="142"/>
      <c r="E53" s="146"/>
      <c r="F53" s="141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</row>
    <row r="54" spans="1:24" x14ac:dyDescent="0.3">
      <c r="A54" s="141"/>
      <c r="B54" s="142"/>
      <c r="C54" s="142"/>
      <c r="D54" s="142"/>
      <c r="E54" s="146"/>
      <c r="F54" s="141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</row>
    <row r="55" spans="1:24" x14ac:dyDescent="0.3">
      <c r="A55" s="141"/>
      <c r="B55" s="142"/>
      <c r="C55" s="142"/>
      <c r="D55" s="142"/>
      <c r="E55" s="146"/>
      <c r="F55" s="141"/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</row>
    <row r="56" spans="1:24" x14ac:dyDescent="0.3">
      <c r="A56" s="141"/>
      <c r="B56" s="142"/>
      <c r="C56" s="142"/>
      <c r="D56" s="142"/>
      <c r="E56" s="146"/>
      <c r="F56" s="141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</row>
    <row r="57" spans="1:24" x14ac:dyDescent="0.3">
      <c r="A57" s="141"/>
      <c r="B57" s="142"/>
      <c r="C57" s="142"/>
      <c r="D57" s="142"/>
      <c r="E57" s="146"/>
      <c r="F57" s="141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</row>
    <row r="58" spans="1:24" x14ac:dyDescent="0.3">
      <c r="A58" s="141"/>
      <c r="B58" s="142"/>
      <c r="C58" s="142"/>
      <c r="D58" s="142"/>
      <c r="E58" s="146"/>
      <c r="F58" s="141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</row>
    <row r="59" spans="1:24" x14ac:dyDescent="0.3">
      <c r="A59" s="141"/>
      <c r="B59" s="142"/>
      <c r="C59" s="142"/>
      <c r="D59" s="142"/>
      <c r="E59" s="146"/>
      <c r="F59" s="141"/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</row>
    <row r="60" spans="1:24" x14ac:dyDescent="0.3">
      <c r="A60" s="141"/>
      <c r="B60" s="142"/>
      <c r="C60" s="142"/>
      <c r="D60" s="142"/>
      <c r="E60" s="146"/>
      <c r="F60" s="141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</row>
    <row r="61" spans="1:24" x14ac:dyDescent="0.3">
      <c r="A61" s="141"/>
      <c r="B61" s="142"/>
      <c r="C61" s="142"/>
      <c r="D61" s="142"/>
      <c r="E61" s="146"/>
      <c r="F61" s="141"/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</row>
    <row r="62" spans="1:24" x14ac:dyDescent="0.3">
      <c r="A62" s="141"/>
      <c r="B62" s="142"/>
      <c r="C62" s="142"/>
      <c r="D62" s="142"/>
      <c r="E62" s="146"/>
      <c r="F62" s="141"/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</row>
    <row r="63" spans="1:24" x14ac:dyDescent="0.3">
      <c r="A63" s="141"/>
      <c r="B63" s="142"/>
      <c r="C63" s="142"/>
      <c r="D63" s="142"/>
      <c r="E63" s="146"/>
      <c r="F63" s="141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</row>
    <row r="64" spans="1:24" x14ac:dyDescent="0.3">
      <c r="A64" s="141"/>
      <c r="B64" s="142"/>
      <c r="C64" s="142"/>
      <c r="D64" s="142"/>
      <c r="E64" s="146"/>
      <c r="F64" s="141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</row>
    <row r="65" spans="1:24" x14ac:dyDescent="0.3">
      <c r="A65" s="141"/>
      <c r="B65" s="142"/>
      <c r="C65" s="142"/>
      <c r="D65" s="142"/>
      <c r="E65" s="146"/>
      <c r="F65" s="141"/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</row>
    <row r="66" spans="1:24" x14ac:dyDescent="0.3">
      <c r="A66" s="141"/>
      <c r="B66" s="142"/>
      <c r="C66" s="142"/>
      <c r="D66" s="142"/>
      <c r="E66" s="146"/>
      <c r="F66" s="141"/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</row>
    <row r="67" spans="1:24" x14ac:dyDescent="0.3">
      <c r="A67" s="147"/>
      <c r="B67" s="148"/>
      <c r="C67" s="148"/>
      <c r="D67" s="148"/>
      <c r="E67" s="149"/>
      <c r="F67" s="141"/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</row>
    <row r="68" spans="1:24" x14ac:dyDescent="0.3">
      <c r="A68" s="87"/>
      <c r="B68" s="139"/>
      <c r="C68" s="139"/>
      <c r="D68" s="140"/>
      <c r="E68" s="87"/>
      <c r="F68" s="141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</row>
    <row r="69" spans="1:24" x14ac:dyDescent="0.3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</row>
    <row r="70" spans="1:24" x14ac:dyDescent="0.3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</row>
    <row r="71" spans="1:24" x14ac:dyDescent="0.3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</row>
    <row r="72" spans="1:24" x14ac:dyDescent="0.3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</row>
    <row r="73" spans="1:24" x14ac:dyDescent="0.3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</row>
    <row r="74" spans="1:24" x14ac:dyDescent="0.3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</row>
    <row r="75" spans="1:24" x14ac:dyDescent="0.3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</row>
    <row r="76" spans="1:24" x14ac:dyDescent="0.3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</row>
    <row r="77" spans="1:24" x14ac:dyDescent="0.3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</row>
    <row r="78" spans="1:24" x14ac:dyDescent="0.3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</row>
    <row r="79" spans="1:24" x14ac:dyDescent="0.3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</row>
    <row r="80" spans="1:24" x14ac:dyDescent="0.3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</row>
    <row r="81" spans="1:24" x14ac:dyDescent="0.3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</row>
    <row r="82" spans="1:24" x14ac:dyDescent="0.3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</row>
    <row r="83" spans="1:24" x14ac:dyDescent="0.3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</row>
    <row r="84" spans="1:24" x14ac:dyDescent="0.3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</row>
    <row r="85" spans="1:24" x14ac:dyDescent="0.3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</row>
    <row r="86" spans="1:24" x14ac:dyDescent="0.3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</row>
    <row r="87" spans="1:24" x14ac:dyDescent="0.3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</row>
    <row r="88" spans="1:24" x14ac:dyDescent="0.3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</row>
    <row r="89" spans="1:24" x14ac:dyDescent="0.3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</row>
    <row r="90" spans="1:24" x14ac:dyDescent="0.3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</row>
    <row r="91" spans="1:24" x14ac:dyDescent="0.3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</row>
    <row r="92" spans="1:24" x14ac:dyDescent="0.3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</row>
    <row r="93" spans="1:24" x14ac:dyDescent="0.3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</row>
    <row r="94" spans="1:24" x14ac:dyDescent="0.3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</row>
    <row r="95" spans="1:24" x14ac:dyDescent="0.3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</row>
    <row r="96" spans="1:24" x14ac:dyDescent="0.3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</row>
    <row r="97" spans="1:24" x14ac:dyDescent="0.3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</row>
    <row r="98" spans="1:24" x14ac:dyDescent="0.3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</row>
    <row r="99" spans="1:24" x14ac:dyDescent="0.3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</row>
    <row r="100" spans="1:24" x14ac:dyDescent="0.3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</row>
    <row r="101" spans="1:24" x14ac:dyDescent="0.3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</row>
    <row r="102" spans="1:24" x14ac:dyDescent="0.3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87"/>
      <c r="Q102" s="87"/>
      <c r="R102" s="87"/>
      <c r="S102" s="87"/>
      <c r="T102" s="87"/>
      <c r="U102" s="87"/>
      <c r="V102" s="87"/>
      <c r="W102" s="87"/>
      <c r="X102" s="87"/>
    </row>
    <row r="103" spans="1:24" x14ac:dyDescent="0.3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  <c r="O103" s="87"/>
      <c r="P103" s="87"/>
      <c r="Q103" s="87"/>
      <c r="R103" s="87"/>
      <c r="S103" s="87"/>
      <c r="T103" s="87"/>
      <c r="U103" s="87"/>
      <c r="V103" s="87"/>
      <c r="W103" s="87"/>
      <c r="X103" s="87"/>
    </row>
    <row r="104" spans="1:24" x14ac:dyDescent="0.3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87"/>
      <c r="Q104" s="87"/>
      <c r="R104" s="87"/>
      <c r="S104" s="87"/>
      <c r="T104" s="87"/>
      <c r="U104" s="87"/>
      <c r="V104" s="87"/>
      <c r="W104" s="87"/>
      <c r="X104" s="87"/>
    </row>
    <row r="105" spans="1:24" x14ac:dyDescent="0.3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  <c r="O105" s="87"/>
      <c r="P105" s="87"/>
      <c r="Q105" s="87"/>
      <c r="R105" s="87"/>
      <c r="S105" s="87"/>
      <c r="T105" s="87"/>
      <c r="U105" s="87"/>
      <c r="V105" s="87"/>
      <c r="W105" s="87"/>
      <c r="X105" s="87"/>
    </row>
    <row r="106" spans="1:24" x14ac:dyDescent="0.3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</row>
    <row r="107" spans="1:24" x14ac:dyDescent="0.3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</row>
    <row r="108" spans="1:24" x14ac:dyDescent="0.3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87"/>
      <c r="Q108" s="87"/>
      <c r="R108" s="87"/>
      <c r="S108" s="87"/>
      <c r="T108" s="87"/>
      <c r="U108" s="87"/>
      <c r="V108" s="87"/>
      <c r="W108" s="87"/>
      <c r="X108" s="87"/>
    </row>
    <row r="109" spans="1:24" x14ac:dyDescent="0.3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</row>
    <row r="110" spans="1:24" x14ac:dyDescent="0.3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87"/>
      <c r="Q110" s="87"/>
      <c r="R110" s="87"/>
      <c r="S110" s="87"/>
      <c r="T110" s="87"/>
      <c r="U110" s="87"/>
      <c r="V110" s="87"/>
      <c r="W110" s="87"/>
      <c r="X110" s="87"/>
    </row>
    <row r="111" spans="1:24" x14ac:dyDescent="0.3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  <c r="O111" s="87"/>
      <c r="P111" s="87"/>
      <c r="Q111" s="87"/>
      <c r="R111" s="87"/>
      <c r="S111" s="87"/>
      <c r="T111" s="87"/>
      <c r="U111" s="87"/>
      <c r="V111" s="87"/>
      <c r="W111" s="87"/>
      <c r="X111" s="87"/>
    </row>
    <row r="112" spans="1:24" x14ac:dyDescent="0.3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7"/>
      <c r="U112" s="87"/>
      <c r="V112" s="87"/>
      <c r="W112" s="87"/>
      <c r="X112" s="87"/>
    </row>
    <row r="113" spans="1:24" x14ac:dyDescent="0.3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  <c r="V113" s="87"/>
      <c r="W113" s="87"/>
      <c r="X113" s="87"/>
    </row>
    <row r="114" spans="1:24" x14ac:dyDescent="0.3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87"/>
      <c r="Q114" s="87"/>
      <c r="R114" s="87"/>
      <c r="S114" s="87"/>
      <c r="T114" s="87"/>
      <c r="U114" s="87"/>
      <c r="V114" s="87"/>
      <c r="W114" s="87"/>
      <c r="X114" s="87"/>
    </row>
    <row r="115" spans="1:24" x14ac:dyDescent="0.3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7"/>
      <c r="S115" s="87"/>
      <c r="T115" s="87"/>
      <c r="U115" s="87"/>
      <c r="V115" s="87"/>
      <c r="W115" s="87"/>
      <c r="X115" s="87"/>
    </row>
    <row r="116" spans="1:24" x14ac:dyDescent="0.3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87"/>
      <c r="Q116" s="87"/>
      <c r="R116" s="87"/>
      <c r="S116" s="87"/>
      <c r="T116" s="87"/>
      <c r="U116" s="87"/>
      <c r="V116" s="87"/>
      <c r="W116" s="87"/>
      <c r="X116" s="87"/>
    </row>
    <row r="117" spans="1:24" x14ac:dyDescent="0.3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</row>
    <row r="118" spans="1:24" x14ac:dyDescent="0.3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7"/>
      <c r="U118" s="87"/>
      <c r="V118" s="87"/>
      <c r="W118" s="87"/>
      <c r="X118" s="87"/>
    </row>
    <row r="119" spans="1:24" x14ac:dyDescent="0.3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</row>
    <row r="120" spans="1:24" x14ac:dyDescent="0.3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</row>
    <row r="121" spans="1:24" x14ac:dyDescent="0.3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</row>
    <row r="122" spans="1:24" x14ac:dyDescent="0.3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87"/>
      <c r="Q122" s="87"/>
      <c r="R122" s="87"/>
      <c r="S122" s="87"/>
      <c r="T122" s="87"/>
      <c r="U122" s="87"/>
      <c r="V122" s="87"/>
      <c r="W122" s="87"/>
      <c r="X122" s="87"/>
    </row>
    <row r="123" spans="1:24" x14ac:dyDescent="0.3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</row>
    <row r="124" spans="1:24" x14ac:dyDescent="0.3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87"/>
      <c r="Q124" s="87"/>
      <c r="R124" s="87"/>
      <c r="S124" s="87"/>
      <c r="T124" s="87"/>
      <c r="U124" s="87"/>
      <c r="V124" s="87"/>
      <c r="W124" s="87"/>
      <c r="X124" s="87"/>
    </row>
    <row r="125" spans="1:24" x14ac:dyDescent="0.3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  <c r="O125" s="87"/>
      <c r="P125" s="87"/>
      <c r="Q125" s="87"/>
      <c r="R125" s="87"/>
      <c r="S125" s="87"/>
      <c r="T125" s="87"/>
      <c r="U125" s="87"/>
      <c r="V125" s="87"/>
      <c r="W125" s="87"/>
      <c r="X125" s="87"/>
    </row>
    <row r="126" spans="1:24" x14ac:dyDescent="0.3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87"/>
      <c r="Q126" s="87"/>
      <c r="R126" s="87"/>
      <c r="S126" s="87"/>
      <c r="T126" s="87"/>
      <c r="U126" s="87"/>
      <c r="V126" s="87"/>
      <c r="W126" s="87"/>
      <c r="X126" s="87"/>
    </row>
    <row r="127" spans="1:24" x14ac:dyDescent="0.3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</row>
    <row r="128" spans="1:24" x14ac:dyDescent="0.3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87"/>
      <c r="Q128" s="87"/>
      <c r="R128" s="87"/>
      <c r="S128" s="87"/>
      <c r="T128" s="87"/>
      <c r="U128" s="87"/>
      <c r="V128" s="87"/>
      <c r="W128" s="87"/>
      <c r="X128" s="87"/>
    </row>
    <row r="129" spans="1:24" x14ac:dyDescent="0.3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  <c r="O129" s="87"/>
      <c r="P129" s="87"/>
      <c r="Q129" s="87"/>
      <c r="R129" s="87"/>
      <c r="S129" s="87"/>
      <c r="T129" s="87"/>
      <c r="U129" s="87"/>
      <c r="V129" s="87"/>
      <c r="W129" s="87"/>
      <c r="X129" s="87"/>
    </row>
    <row r="130" spans="1:24" x14ac:dyDescent="0.3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87"/>
      <c r="Q130" s="87"/>
      <c r="R130" s="87"/>
      <c r="S130" s="87"/>
      <c r="T130" s="87"/>
      <c r="U130" s="87"/>
      <c r="V130" s="87"/>
      <c r="W130" s="87"/>
      <c r="X130" s="87"/>
    </row>
    <row r="131" spans="1:24" x14ac:dyDescent="0.3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  <c r="O131" s="87"/>
      <c r="P131" s="87"/>
      <c r="Q131" s="87"/>
      <c r="R131" s="87"/>
      <c r="S131" s="87"/>
      <c r="T131" s="87"/>
      <c r="U131" s="87"/>
      <c r="V131" s="87"/>
      <c r="W131" s="87"/>
      <c r="X131" s="87"/>
    </row>
    <row r="132" spans="1:24" x14ac:dyDescent="0.3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87"/>
      <c r="Q132" s="87"/>
      <c r="R132" s="87"/>
      <c r="S132" s="87"/>
      <c r="T132" s="87"/>
      <c r="U132" s="87"/>
      <c r="V132" s="87"/>
      <c r="W132" s="87"/>
      <c r="X132" s="87"/>
    </row>
    <row r="133" spans="1:24" x14ac:dyDescent="0.3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  <c r="O133" s="87"/>
      <c r="P133" s="87"/>
      <c r="Q133" s="87"/>
      <c r="R133" s="87"/>
      <c r="S133" s="87"/>
      <c r="T133" s="87"/>
      <c r="U133" s="87"/>
      <c r="V133" s="87"/>
      <c r="W133" s="87"/>
      <c r="X133" s="87"/>
    </row>
    <row r="134" spans="1:24" x14ac:dyDescent="0.3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</row>
    <row r="135" spans="1:24" x14ac:dyDescent="0.3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  <c r="O135" s="87"/>
      <c r="P135" s="87"/>
      <c r="Q135" s="87"/>
      <c r="R135" s="87"/>
      <c r="S135" s="87"/>
      <c r="T135" s="87"/>
      <c r="U135" s="87"/>
      <c r="V135" s="87"/>
      <c r="W135" s="87"/>
      <c r="X135" s="87"/>
    </row>
    <row r="136" spans="1:24" x14ac:dyDescent="0.3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87"/>
      <c r="Q136" s="87"/>
      <c r="R136" s="87"/>
      <c r="S136" s="87"/>
      <c r="T136" s="87"/>
      <c r="U136" s="87"/>
      <c r="V136" s="87"/>
      <c r="W136" s="87"/>
      <c r="X136" s="87"/>
    </row>
    <row r="137" spans="1:24" x14ac:dyDescent="0.3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  <c r="O137" s="87"/>
      <c r="P137" s="87"/>
      <c r="Q137" s="87"/>
      <c r="R137" s="87"/>
      <c r="S137" s="87"/>
      <c r="T137" s="87"/>
      <c r="U137" s="87"/>
      <c r="V137" s="87"/>
      <c r="W137" s="87"/>
      <c r="X137" s="87"/>
    </row>
    <row r="138" spans="1:24" x14ac:dyDescent="0.3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87"/>
      <c r="Q138" s="87"/>
      <c r="R138" s="87"/>
      <c r="S138" s="87"/>
      <c r="T138" s="87"/>
      <c r="U138" s="87"/>
      <c r="V138" s="87"/>
      <c r="W138" s="87"/>
      <c r="X138" s="87"/>
    </row>
    <row r="139" spans="1:24" x14ac:dyDescent="0.3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  <c r="O139" s="87"/>
      <c r="P139" s="87"/>
      <c r="Q139" s="87"/>
      <c r="R139" s="87"/>
      <c r="S139" s="87"/>
      <c r="T139" s="87"/>
      <c r="U139" s="87"/>
      <c r="V139" s="87"/>
      <c r="W139" s="87"/>
      <c r="X139" s="87"/>
    </row>
    <row r="140" spans="1:24" x14ac:dyDescent="0.3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</row>
    <row r="141" spans="1:24" x14ac:dyDescent="0.3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  <c r="O141" s="87"/>
      <c r="P141" s="87"/>
      <c r="Q141" s="87"/>
      <c r="R141" s="87"/>
      <c r="S141" s="87"/>
      <c r="T141" s="87"/>
      <c r="U141" s="87"/>
      <c r="V141" s="87"/>
      <c r="W141" s="87"/>
      <c r="X141" s="87"/>
    </row>
    <row r="142" spans="1:24" x14ac:dyDescent="0.3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87"/>
      <c r="Q142" s="87"/>
      <c r="R142" s="87"/>
      <c r="S142" s="87"/>
      <c r="T142" s="87"/>
      <c r="U142" s="87"/>
      <c r="V142" s="87"/>
      <c r="W142" s="87"/>
      <c r="X142" s="87"/>
    </row>
    <row r="143" spans="1:24" x14ac:dyDescent="0.3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  <c r="O143" s="87"/>
      <c r="P143" s="87"/>
      <c r="Q143" s="87"/>
      <c r="R143" s="87"/>
      <c r="S143" s="87"/>
      <c r="T143" s="87"/>
      <c r="U143" s="87"/>
      <c r="V143" s="87"/>
      <c r="W143" s="87"/>
      <c r="X143" s="87"/>
    </row>
    <row r="144" spans="1:24" x14ac:dyDescent="0.3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87"/>
      <c r="Q144" s="87"/>
      <c r="R144" s="87"/>
      <c r="S144" s="87"/>
      <c r="T144" s="87"/>
      <c r="U144" s="87"/>
      <c r="V144" s="87"/>
      <c r="W144" s="87"/>
      <c r="X144" s="87"/>
    </row>
    <row r="145" spans="1:24" x14ac:dyDescent="0.3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  <c r="O145" s="87"/>
      <c r="P145" s="87"/>
      <c r="Q145" s="87"/>
      <c r="R145" s="87"/>
      <c r="S145" s="87"/>
      <c r="T145" s="87"/>
      <c r="U145" s="87"/>
      <c r="V145" s="87"/>
      <c r="W145" s="87"/>
      <c r="X145" s="87"/>
    </row>
    <row r="146" spans="1:24" x14ac:dyDescent="0.3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87"/>
      <c r="Q146" s="87"/>
      <c r="R146" s="87"/>
      <c r="S146" s="87"/>
      <c r="T146" s="87"/>
      <c r="U146" s="87"/>
      <c r="V146" s="87"/>
      <c r="W146" s="87"/>
      <c r="X146" s="87"/>
    </row>
    <row r="147" spans="1:24" x14ac:dyDescent="0.3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  <c r="O147" s="87"/>
      <c r="P147" s="87"/>
      <c r="Q147" s="87"/>
      <c r="R147" s="87"/>
      <c r="S147" s="87"/>
      <c r="T147" s="87"/>
      <c r="U147" s="87"/>
      <c r="V147" s="87"/>
      <c r="W147" s="87"/>
      <c r="X147" s="87"/>
    </row>
    <row r="148" spans="1:24" x14ac:dyDescent="0.3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87"/>
      <c r="Q148" s="87"/>
      <c r="R148" s="87"/>
      <c r="S148" s="87"/>
      <c r="T148" s="87"/>
      <c r="U148" s="87"/>
      <c r="V148" s="87"/>
      <c r="W148" s="87"/>
      <c r="X148" s="87"/>
    </row>
    <row r="149" spans="1:24" x14ac:dyDescent="0.3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  <c r="O149" s="87"/>
      <c r="P149" s="87"/>
      <c r="Q149" s="87"/>
      <c r="R149" s="87"/>
      <c r="S149" s="87"/>
      <c r="T149" s="87"/>
      <c r="U149" s="87"/>
      <c r="V149" s="87"/>
      <c r="W149" s="87"/>
      <c r="X149" s="87"/>
    </row>
    <row r="150" spans="1:24" x14ac:dyDescent="0.3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87"/>
      <c r="Q150" s="87"/>
      <c r="R150" s="87"/>
      <c r="S150" s="87"/>
      <c r="T150" s="87"/>
      <c r="U150" s="87"/>
      <c r="V150" s="87"/>
      <c r="W150" s="87"/>
      <c r="X150" s="87"/>
    </row>
    <row r="151" spans="1:24" x14ac:dyDescent="0.3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  <c r="O151" s="87"/>
      <c r="P151" s="87"/>
      <c r="Q151" s="87"/>
      <c r="R151" s="87"/>
      <c r="S151" s="87"/>
      <c r="T151" s="87"/>
      <c r="U151" s="87"/>
      <c r="V151" s="87"/>
      <c r="W151" s="87"/>
      <c r="X151" s="87"/>
    </row>
    <row r="152" spans="1:24" x14ac:dyDescent="0.3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87"/>
      <c r="Q152" s="87"/>
      <c r="R152" s="87"/>
      <c r="S152" s="87"/>
      <c r="T152" s="87"/>
      <c r="U152" s="87"/>
      <c r="V152" s="87"/>
      <c r="W152" s="87"/>
      <c r="X152" s="87"/>
    </row>
    <row r="153" spans="1:24" x14ac:dyDescent="0.3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  <c r="O153" s="87"/>
      <c r="P153" s="87"/>
      <c r="Q153" s="87"/>
      <c r="R153" s="87"/>
      <c r="S153" s="87"/>
      <c r="T153" s="87"/>
      <c r="U153" s="87"/>
      <c r="V153" s="87"/>
      <c r="W153" s="87"/>
      <c r="X153" s="87"/>
    </row>
    <row r="154" spans="1:24" x14ac:dyDescent="0.3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87"/>
      <c r="Q154" s="87"/>
      <c r="R154" s="87"/>
      <c r="S154" s="87"/>
      <c r="T154" s="87"/>
      <c r="U154" s="87"/>
      <c r="V154" s="87"/>
      <c r="W154" s="87"/>
      <c r="X154" s="87"/>
    </row>
    <row r="155" spans="1:24" x14ac:dyDescent="0.3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  <c r="O155" s="87"/>
      <c r="P155" s="87"/>
      <c r="Q155" s="87"/>
      <c r="R155" s="87"/>
      <c r="S155" s="87"/>
      <c r="T155" s="87"/>
      <c r="U155" s="87"/>
      <c r="V155" s="87"/>
      <c r="W155" s="87"/>
      <c r="X155" s="87"/>
    </row>
    <row r="156" spans="1:24" x14ac:dyDescent="0.3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</row>
    <row r="157" spans="1:24" x14ac:dyDescent="0.3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  <c r="O157" s="87"/>
      <c r="P157" s="87"/>
      <c r="Q157" s="87"/>
      <c r="R157" s="87"/>
      <c r="S157" s="87"/>
      <c r="T157" s="87"/>
      <c r="U157" s="87"/>
      <c r="V157" s="87"/>
      <c r="W157" s="87"/>
      <c r="X157" s="87"/>
    </row>
    <row r="158" spans="1:24" x14ac:dyDescent="0.3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</row>
    <row r="159" spans="1:24" x14ac:dyDescent="0.3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  <c r="O159" s="87"/>
      <c r="P159" s="87"/>
      <c r="Q159" s="87"/>
      <c r="R159" s="87"/>
      <c r="S159" s="87"/>
      <c r="T159" s="87"/>
      <c r="U159" s="87"/>
      <c r="V159" s="87"/>
      <c r="W159" s="87"/>
      <c r="X159" s="87"/>
    </row>
    <row r="160" spans="1:24" x14ac:dyDescent="0.3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  <c r="O160" s="87"/>
      <c r="P160" s="87"/>
      <c r="Q160" s="87"/>
      <c r="R160" s="87"/>
      <c r="S160" s="87"/>
      <c r="T160" s="87"/>
      <c r="U160" s="87"/>
      <c r="V160" s="87"/>
      <c r="W160" s="87"/>
      <c r="X160" s="87"/>
    </row>
    <row r="161" spans="1:24" x14ac:dyDescent="0.3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  <c r="O161" s="87"/>
      <c r="P161" s="87"/>
      <c r="Q161" s="87"/>
      <c r="R161" s="87"/>
      <c r="S161" s="87"/>
      <c r="T161" s="87"/>
      <c r="U161" s="87"/>
      <c r="V161" s="87"/>
      <c r="W161" s="87"/>
      <c r="X161" s="87"/>
    </row>
    <row r="162" spans="1:24" x14ac:dyDescent="0.3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87"/>
      <c r="Q162" s="87"/>
      <c r="R162" s="87"/>
      <c r="S162" s="87"/>
      <c r="T162" s="87"/>
      <c r="U162" s="87"/>
      <c r="V162" s="87"/>
      <c r="W162" s="87"/>
      <c r="X162" s="87"/>
    </row>
    <row r="163" spans="1:24" x14ac:dyDescent="0.3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  <c r="O163" s="87"/>
      <c r="P163" s="87"/>
      <c r="Q163" s="87"/>
      <c r="R163" s="87"/>
      <c r="S163" s="87"/>
      <c r="T163" s="87"/>
      <c r="U163" s="87"/>
      <c r="V163" s="87"/>
      <c r="W163" s="87"/>
      <c r="X163" s="87"/>
    </row>
    <row r="164" spans="1:24" x14ac:dyDescent="0.3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87"/>
      <c r="Q164" s="87"/>
      <c r="R164" s="87"/>
      <c r="S164" s="87"/>
      <c r="T164" s="87"/>
      <c r="U164" s="87"/>
      <c r="V164" s="87"/>
      <c r="W164" s="87"/>
      <c r="X164" s="87"/>
    </row>
    <row r="165" spans="1:24" x14ac:dyDescent="0.3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  <c r="O165" s="87"/>
      <c r="P165" s="87"/>
      <c r="Q165" s="87"/>
      <c r="R165" s="87"/>
      <c r="S165" s="87"/>
      <c r="T165" s="87"/>
      <c r="U165" s="87"/>
      <c r="V165" s="87"/>
      <c r="W165" s="87"/>
      <c r="X165" s="87"/>
    </row>
    <row r="166" spans="1:24" x14ac:dyDescent="0.3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87"/>
      <c r="Q166" s="87"/>
      <c r="R166" s="87"/>
      <c r="S166" s="87"/>
      <c r="T166" s="87"/>
      <c r="U166" s="87"/>
      <c r="V166" s="87"/>
      <c r="W166" s="87"/>
      <c r="X166" s="87"/>
    </row>
    <row r="167" spans="1:24" x14ac:dyDescent="0.3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  <c r="O167" s="87"/>
      <c r="P167" s="87"/>
      <c r="Q167" s="87"/>
      <c r="R167" s="87"/>
      <c r="S167" s="87"/>
      <c r="T167" s="87"/>
      <c r="U167" s="87"/>
      <c r="V167" s="87"/>
      <c r="W167" s="87"/>
      <c r="X167" s="87"/>
    </row>
    <row r="168" spans="1:24" x14ac:dyDescent="0.3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87"/>
      <c r="Q168" s="87"/>
      <c r="R168" s="87"/>
      <c r="S168" s="87"/>
      <c r="T168" s="87"/>
      <c r="U168" s="87"/>
      <c r="V168" s="87"/>
      <c r="W168" s="87"/>
      <c r="X168" s="87"/>
    </row>
    <row r="169" spans="1:24" x14ac:dyDescent="0.3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  <c r="O169" s="87"/>
      <c r="P169" s="87"/>
      <c r="Q169" s="87"/>
      <c r="R169" s="87"/>
      <c r="S169" s="87"/>
      <c r="T169" s="87"/>
      <c r="U169" s="87"/>
      <c r="V169" s="87"/>
      <c r="W169" s="87"/>
      <c r="X169" s="87"/>
    </row>
    <row r="170" spans="1:24" x14ac:dyDescent="0.3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87"/>
      <c r="Q170" s="87"/>
      <c r="R170" s="87"/>
      <c r="S170" s="87"/>
      <c r="T170" s="87"/>
      <c r="U170" s="87"/>
      <c r="V170" s="87"/>
      <c r="W170" s="87"/>
      <c r="X170" s="87"/>
    </row>
    <row r="171" spans="1:24" x14ac:dyDescent="0.3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  <c r="O171" s="87"/>
      <c r="P171" s="87"/>
      <c r="Q171" s="87"/>
      <c r="R171" s="87"/>
      <c r="S171" s="87"/>
      <c r="T171" s="87"/>
      <c r="U171" s="87"/>
      <c r="V171" s="87"/>
      <c r="W171" s="87"/>
      <c r="X171" s="87"/>
    </row>
    <row r="172" spans="1:24" x14ac:dyDescent="0.3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87"/>
      <c r="Q172" s="87"/>
      <c r="R172" s="87"/>
      <c r="S172" s="87"/>
      <c r="T172" s="87"/>
      <c r="U172" s="87"/>
      <c r="V172" s="87"/>
      <c r="W172" s="87"/>
      <c r="X172" s="87"/>
    </row>
    <row r="173" spans="1:24" x14ac:dyDescent="0.3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  <c r="O173" s="87"/>
      <c r="P173" s="87"/>
      <c r="Q173" s="87"/>
      <c r="R173" s="87"/>
      <c r="S173" s="87"/>
      <c r="T173" s="87"/>
      <c r="U173" s="87"/>
      <c r="V173" s="87"/>
      <c r="W173" s="87"/>
      <c r="X173" s="87"/>
    </row>
    <row r="174" spans="1:24" x14ac:dyDescent="0.3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</row>
    <row r="175" spans="1:24" x14ac:dyDescent="0.3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  <c r="O175" s="87"/>
      <c r="P175" s="87"/>
      <c r="Q175" s="87"/>
      <c r="R175" s="87"/>
      <c r="S175" s="87"/>
      <c r="T175" s="87"/>
      <c r="U175" s="87"/>
      <c r="V175" s="87"/>
      <c r="W175" s="87"/>
      <c r="X175" s="87"/>
    </row>
    <row r="176" spans="1:24" x14ac:dyDescent="0.3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</row>
    <row r="177" spans="1:24" x14ac:dyDescent="0.3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</row>
    <row r="178" spans="1:24" x14ac:dyDescent="0.3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</row>
    <row r="179" spans="1:24" x14ac:dyDescent="0.3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  <c r="O179" s="87"/>
      <c r="P179" s="87"/>
      <c r="Q179" s="87"/>
      <c r="R179" s="87"/>
      <c r="S179" s="87"/>
      <c r="T179" s="87"/>
      <c r="U179" s="87"/>
      <c r="V179" s="87"/>
      <c r="W179" s="87"/>
      <c r="X179" s="87"/>
    </row>
    <row r="180" spans="1:24" x14ac:dyDescent="0.3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87"/>
      <c r="Q180" s="87"/>
      <c r="R180" s="87"/>
      <c r="S180" s="87"/>
      <c r="T180" s="87"/>
      <c r="U180" s="87"/>
      <c r="V180" s="87"/>
      <c r="W180" s="87"/>
      <c r="X180" s="87"/>
    </row>
    <row r="181" spans="1:24" x14ac:dyDescent="0.3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  <c r="O181" s="87"/>
      <c r="P181" s="87"/>
      <c r="Q181" s="87"/>
      <c r="R181" s="87"/>
      <c r="S181" s="87"/>
      <c r="T181" s="87"/>
      <c r="U181" s="87"/>
      <c r="V181" s="87"/>
      <c r="W181" s="87"/>
      <c r="X181" s="87"/>
    </row>
    <row r="182" spans="1:24" x14ac:dyDescent="0.3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87"/>
      <c r="Q182" s="87"/>
      <c r="R182" s="87"/>
      <c r="S182" s="87"/>
      <c r="T182" s="87"/>
      <c r="U182" s="87"/>
      <c r="V182" s="87"/>
      <c r="W182" s="87"/>
      <c r="X182" s="87"/>
    </row>
    <row r="183" spans="1:24" x14ac:dyDescent="0.3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  <c r="O183" s="87"/>
      <c r="P183" s="87"/>
      <c r="Q183" s="87"/>
      <c r="R183" s="87"/>
      <c r="S183" s="87"/>
      <c r="T183" s="87"/>
      <c r="U183" s="87"/>
      <c r="V183" s="87"/>
      <c r="W183" s="87"/>
      <c r="X183" s="87"/>
    </row>
    <row r="184" spans="1:24" x14ac:dyDescent="0.3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87"/>
      <c r="Q184" s="87"/>
      <c r="R184" s="87"/>
      <c r="S184" s="87"/>
      <c r="T184" s="87"/>
      <c r="U184" s="87"/>
      <c r="V184" s="87"/>
      <c r="W184" s="87"/>
      <c r="X184" s="87"/>
    </row>
    <row r="185" spans="1:24" x14ac:dyDescent="0.3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  <c r="O185" s="87"/>
      <c r="P185" s="87"/>
      <c r="Q185" s="87"/>
      <c r="R185" s="87"/>
      <c r="S185" s="87"/>
      <c r="T185" s="87"/>
      <c r="U185" s="87"/>
      <c r="V185" s="87"/>
      <c r="W185" s="87"/>
      <c r="X185" s="87"/>
    </row>
    <row r="186" spans="1:24" x14ac:dyDescent="0.3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87"/>
      <c r="Q186" s="87"/>
      <c r="R186" s="87"/>
      <c r="S186" s="87"/>
      <c r="T186" s="87"/>
      <c r="U186" s="87"/>
      <c r="V186" s="87"/>
      <c r="W186" s="87"/>
      <c r="X186" s="87"/>
    </row>
    <row r="187" spans="1:24" x14ac:dyDescent="0.3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  <c r="O187" s="87"/>
      <c r="P187" s="87"/>
      <c r="Q187" s="87"/>
      <c r="R187" s="87"/>
      <c r="S187" s="87"/>
      <c r="T187" s="87"/>
      <c r="U187" s="87"/>
      <c r="V187" s="87"/>
      <c r="W187" s="87"/>
      <c r="X187" s="87"/>
    </row>
    <row r="188" spans="1:24" x14ac:dyDescent="0.3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87"/>
      <c r="Q188" s="87"/>
      <c r="R188" s="87"/>
      <c r="S188" s="87"/>
      <c r="T188" s="87"/>
      <c r="U188" s="87"/>
      <c r="V188" s="87"/>
      <c r="W188" s="87"/>
      <c r="X188" s="87"/>
    </row>
    <row r="189" spans="1:24" x14ac:dyDescent="0.3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  <c r="O189" s="87"/>
      <c r="P189" s="87"/>
      <c r="Q189" s="87"/>
      <c r="R189" s="87"/>
      <c r="S189" s="87"/>
      <c r="T189" s="87"/>
      <c r="U189" s="87"/>
      <c r="V189" s="87"/>
      <c r="W189" s="87"/>
      <c r="X189" s="87"/>
    </row>
    <row r="190" spans="1:24" x14ac:dyDescent="0.3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87"/>
      <c r="Q190" s="87"/>
      <c r="R190" s="87"/>
      <c r="S190" s="87"/>
      <c r="T190" s="87"/>
      <c r="U190" s="87"/>
      <c r="V190" s="87"/>
      <c r="W190" s="87"/>
      <c r="X190" s="87"/>
    </row>
    <row r="191" spans="1:24" x14ac:dyDescent="0.3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  <c r="O191" s="87"/>
      <c r="P191" s="87"/>
      <c r="Q191" s="87"/>
      <c r="R191" s="87"/>
      <c r="S191" s="87"/>
      <c r="T191" s="87"/>
      <c r="U191" s="87"/>
      <c r="V191" s="87"/>
      <c r="W191" s="87"/>
      <c r="X191" s="87"/>
    </row>
    <row r="192" spans="1:24" x14ac:dyDescent="0.3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</row>
    <row r="193" spans="1:24" x14ac:dyDescent="0.3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</row>
    <row r="194" spans="1:24" x14ac:dyDescent="0.3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</row>
    <row r="195" spans="1:24" x14ac:dyDescent="0.3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  <c r="O195" s="87"/>
      <c r="P195" s="87"/>
      <c r="Q195" s="87"/>
      <c r="R195" s="87"/>
      <c r="S195" s="87"/>
      <c r="T195" s="87"/>
      <c r="U195" s="87"/>
      <c r="V195" s="87"/>
      <c r="W195" s="87"/>
      <c r="X195" s="87"/>
    </row>
    <row r="196" spans="1:24" x14ac:dyDescent="0.3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87"/>
      <c r="Q196" s="87"/>
      <c r="R196" s="87"/>
      <c r="S196" s="87"/>
      <c r="T196" s="87"/>
      <c r="U196" s="87"/>
      <c r="V196" s="87"/>
      <c r="W196" s="87"/>
      <c r="X196" s="87"/>
    </row>
    <row r="197" spans="1:24" x14ac:dyDescent="0.3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  <c r="O197" s="87"/>
      <c r="P197" s="87"/>
      <c r="Q197" s="87"/>
      <c r="R197" s="87"/>
      <c r="S197" s="87"/>
      <c r="T197" s="87"/>
      <c r="U197" s="87"/>
      <c r="V197" s="87"/>
      <c r="W197" s="87"/>
      <c r="X197" s="87"/>
    </row>
    <row r="198" spans="1:24" x14ac:dyDescent="0.3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87"/>
      <c r="Q198" s="87"/>
      <c r="R198" s="87"/>
      <c r="S198" s="87"/>
      <c r="T198" s="87"/>
      <c r="U198" s="87"/>
      <c r="V198" s="87"/>
      <c r="W198" s="87"/>
      <c r="X198" s="87"/>
    </row>
    <row r="199" spans="1:24" x14ac:dyDescent="0.3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  <c r="O199" s="87"/>
      <c r="P199" s="87"/>
      <c r="Q199" s="87"/>
      <c r="R199" s="87"/>
      <c r="S199" s="87"/>
      <c r="T199" s="87"/>
      <c r="U199" s="87"/>
      <c r="V199" s="87"/>
      <c r="W199" s="87"/>
      <c r="X199" s="87"/>
    </row>
    <row r="200" spans="1:24" x14ac:dyDescent="0.3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  <c r="O200" s="87"/>
      <c r="P200" s="87"/>
      <c r="Q200" s="87"/>
      <c r="R200" s="87"/>
      <c r="S200" s="87"/>
      <c r="T200" s="87"/>
      <c r="U200" s="87"/>
      <c r="V200" s="87"/>
      <c r="W200" s="87"/>
      <c r="X200" s="87"/>
    </row>
    <row r="201" spans="1:24" x14ac:dyDescent="0.3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  <c r="O201" s="87"/>
      <c r="P201" s="87"/>
      <c r="Q201" s="87"/>
      <c r="R201" s="87"/>
      <c r="S201" s="87"/>
      <c r="T201" s="87"/>
      <c r="U201" s="87"/>
      <c r="V201" s="87"/>
      <c r="W201" s="87"/>
      <c r="X201" s="87"/>
    </row>
    <row r="202" spans="1:24" x14ac:dyDescent="0.3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87"/>
      <c r="Q202" s="87"/>
      <c r="R202" s="87"/>
      <c r="S202" s="87"/>
      <c r="T202" s="87"/>
      <c r="U202" s="87"/>
      <c r="V202" s="87"/>
      <c r="W202" s="87"/>
      <c r="X202" s="87"/>
    </row>
    <row r="203" spans="1:24" x14ac:dyDescent="0.3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  <c r="O203" s="87"/>
      <c r="P203" s="87"/>
      <c r="Q203" s="87"/>
      <c r="R203" s="87"/>
      <c r="S203" s="87"/>
      <c r="T203" s="87"/>
      <c r="U203" s="87"/>
      <c r="V203" s="87"/>
      <c r="W203" s="87"/>
      <c r="X203" s="87"/>
    </row>
    <row r="204" spans="1:24" x14ac:dyDescent="0.3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87"/>
      <c r="Q204" s="87"/>
      <c r="R204" s="87"/>
      <c r="S204" s="87"/>
      <c r="T204" s="87"/>
      <c r="U204" s="87"/>
      <c r="V204" s="87"/>
      <c r="W204" s="87"/>
      <c r="X204" s="87"/>
    </row>
    <row r="205" spans="1:24" x14ac:dyDescent="0.3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  <c r="O205" s="87"/>
      <c r="P205" s="87"/>
      <c r="Q205" s="87"/>
      <c r="R205" s="87"/>
      <c r="S205" s="87"/>
      <c r="T205" s="87"/>
      <c r="U205" s="87"/>
      <c r="V205" s="87"/>
      <c r="W205" s="87"/>
      <c r="X205" s="87"/>
    </row>
    <row r="206" spans="1:24" x14ac:dyDescent="0.3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</row>
    <row r="207" spans="1:24" x14ac:dyDescent="0.3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  <c r="O207" s="87"/>
      <c r="P207" s="87"/>
      <c r="Q207" s="87"/>
      <c r="R207" s="87"/>
      <c r="S207" s="87"/>
      <c r="T207" s="87"/>
      <c r="U207" s="87"/>
      <c r="V207" s="87"/>
      <c r="W207" s="87"/>
      <c r="X207" s="87"/>
    </row>
    <row r="208" spans="1:24" x14ac:dyDescent="0.3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</row>
    <row r="209" spans="1:24" x14ac:dyDescent="0.3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</row>
    <row r="210" spans="1:24" x14ac:dyDescent="0.3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</row>
    <row r="211" spans="1:24" x14ac:dyDescent="0.3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  <c r="O211" s="87"/>
      <c r="P211" s="87"/>
      <c r="Q211" s="87"/>
      <c r="R211" s="87"/>
      <c r="S211" s="87"/>
      <c r="T211" s="87"/>
      <c r="U211" s="87"/>
      <c r="V211" s="87"/>
      <c r="W211" s="87"/>
      <c r="X211" s="87"/>
    </row>
    <row r="212" spans="1:24" x14ac:dyDescent="0.3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87"/>
      <c r="Q212" s="87"/>
      <c r="R212" s="87"/>
      <c r="S212" s="87"/>
      <c r="T212" s="87"/>
      <c r="U212" s="87"/>
      <c r="V212" s="87"/>
      <c r="W212" s="87"/>
      <c r="X212" s="87"/>
    </row>
    <row r="213" spans="1:24" x14ac:dyDescent="0.3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  <c r="O213" s="87"/>
      <c r="P213" s="87"/>
      <c r="Q213" s="87"/>
      <c r="R213" s="87"/>
      <c r="S213" s="87"/>
      <c r="T213" s="87"/>
      <c r="U213" s="87"/>
      <c r="V213" s="87"/>
      <c r="W213" s="87"/>
      <c r="X213" s="87"/>
    </row>
    <row r="214" spans="1:24" x14ac:dyDescent="0.3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87"/>
      <c r="Q214" s="87"/>
      <c r="R214" s="87"/>
      <c r="S214" s="87"/>
      <c r="T214" s="87"/>
      <c r="U214" s="87"/>
      <c r="V214" s="87"/>
      <c r="W214" s="87"/>
      <c r="X214" s="87"/>
    </row>
    <row r="215" spans="1:24" x14ac:dyDescent="0.3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  <c r="O215" s="87"/>
      <c r="P215" s="87"/>
      <c r="Q215" s="87"/>
      <c r="R215" s="87"/>
      <c r="S215" s="87"/>
      <c r="T215" s="87"/>
      <c r="U215" s="87"/>
      <c r="V215" s="87"/>
      <c r="W215" s="87"/>
      <c r="X215" s="87"/>
    </row>
    <row r="216" spans="1:24" x14ac:dyDescent="0.3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87"/>
      <c r="Q216" s="87"/>
      <c r="R216" s="87"/>
      <c r="S216" s="87"/>
      <c r="T216" s="87"/>
      <c r="U216" s="87"/>
      <c r="V216" s="87"/>
      <c r="W216" s="87"/>
      <c r="X216" s="87"/>
    </row>
    <row r="217" spans="1:24" x14ac:dyDescent="0.3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  <c r="O217" s="87"/>
      <c r="P217" s="87"/>
      <c r="Q217" s="87"/>
      <c r="R217" s="87"/>
      <c r="S217" s="87"/>
      <c r="T217" s="87"/>
      <c r="U217" s="87"/>
      <c r="V217" s="87"/>
      <c r="W217" s="87"/>
      <c r="X217" s="87"/>
    </row>
    <row r="218" spans="1:24" x14ac:dyDescent="0.3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87"/>
      <c r="Q218" s="87"/>
      <c r="R218" s="87"/>
      <c r="S218" s="87"/>
      <c r="T218" s="87"/>
      <c r="U218" s="87"/>
      <c r="V218" s="87"/>
      <c r="W218" s="87"/>
      <c r="X218" s="87"/>
    </row>
    <row r="219" spans="1:24" x14ac:dyDescent="0.3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  <c r="O219" s="87"/>
      <c r="P219" s="87"/>
      <c r="Q219" s="87"/>
      <c r="R219" s="87"/>
      <c r="S219" s="87"/>
      <c r="T219" s="87"/>
      <c r="U219" s="87"/>
      <c r="V219" s="87"/>
      <c r="W219" s="87"/>
      <c r="X219" s="87"/>
    </row>
    <row r="220" spans="1:24" x14ac:dyDescent="0.3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</row>
    <row r="221" spans="1:24" x14ac:dyDescent="0.3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</row>
    <row r="222" spans="1:24" x14ac:dyDescent="0.3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</row>
    <row r="223" spans="1:24" x14ac:dyDescent="0.3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  <c r="O223" s="87"/>
      <c r="P223" s="87"/>
      <c r="Q223" s="87"/>
      <c r="R223" s="87"/>
      <c r="S223" s="87"/>
      <c r="T223" s="87"/>
      <c r="U223" s="87"/>
      <c r="V223" s="87"/>
      <c r="W223" s="87"/>
      <c r="X223" s="87"/>
    </row>
    <row r="224" spans="1:24" x14ac:dyDescent="0.3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87"/>
      <c r="Q224" s="87"/>
      <c r="R224" s="87"/>
      <c r="S224" s="87"/>
      <c r="T224" s="87"/>
      <c r="U224" s="87"/>
      <c r="V224" s="87"/>
      <c r="W224" s="87"/>
      <c r="X224" s="87"/>
    </row>
    <row r="225" spans="1:24" x14ac:dyDescent="0.3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  <c r="O225" s="87"/>
      <c r="P225" s="87"/>
      <c r="Q225" s="87"/>
      <c r="R225" s="87"/>
      <c r="S225" s="87"/>
      <c r="T225" s="87"/>
      <c r="U225" s="87"/>
      <c r="V225" s="87"/>
      <c r="W225" s="87"/>
      <c r="X225" s="87"/>
    </row>
    <row r="226" spans="1:24" x14ac:dyDescent="0.3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87"/>
      <c r="Q226" s="87"/>
      <c r="R226" s="87"/>
      <c r="S226" s="87"/>
      <c r="T226" s="87"/>
      <c r="U226" s="87"/>
      <c r="V226" s="87"/>
      <c r="W226" s="87"/>
      <c r="X226" s="87"/>
    </row>
    <row r="227" spans="1:24" x14ac:dyDescent="0.3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  <c r="O227" s="87"/>
      <c r="P227" s="87"/>
      <c r="Q227" s="87"/>
      <c r="R227" s="87"/>
      <c r="S227" s="87"/>
      <c r="T227" s="87"/>
      <c r="U227" s="87"/>
      <c r="V227" s="87"/>
      <c r="W227" s="87"/>
      <c r="X227" s="87"/>
    </row>
    <row r="228" spans="1:24" x14ac:dyDescent="0.3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87"/>
      <c r="Q228" s="87"/>
      <c r="R228" s="87"/>
      <c r="S228" s="87"/>
      <c r="T228" s="87"/>
      <c r="U228" s="87"/>
      <c r="V228" s="87"/>
      <c r="W228" s="87"/>
      <c r="X228" s="87"/>
    </row>
    <row r="229" spans="1:24" x14ac:dyDescent="0.3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  <c r="O229" s="87"/>
      <c r="P229" s="87"/>
      <c r="Q229" s="87"/>
      <c r="R229" s="87"/>
      <c r="S229" s="87"/>
      <c r="T229" s="87"/>
      <c r="U229" s="87"/>
      <c r="V229" s="87"/>
      <c r="W229" s="87"/>
      <c r="X229" s="87"/>
    </row>
    <row r="230" spans="1:24" x14ac:dyDescent="0.3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  <c r="O230" s="87"/>
      <c r="P230" s="87"/>
      <c r="Q230" s="87"/>
      <c r="R230" s="87"/>
      <c r="S230" s="87"/>
      <c r="T230" s="87"/>
      <c r="U230" s="87"/>
      <c r="V230" s="87"/>
      <c r="W230" s="87"/>
      <c r="X230" s="87"/>
    </row>
    <row r="231" spans="1:24" x14ac:dyDescent="0.3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  <c r="O231" s="87"/>
      <c r="P231" s="87"/>
      <c r="Q231" s="87"/>
      <c r="R231" s="87"/>
      <c r="S231" s="87"/>
      <c r="T231" s="87"/>
      <c r="U231" s="87"/>
      <c r="V231" s="87"/>
      <c r="W231" s="87"/>
      <c r="X231" s="87"/>
    </row>
    <row r="232" spans="1:24" x14ac:dyDescent="0.3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87"/>
      <c r="Q232" s="87"/>
      <c r="R232" s="87"/>
      <c r="S232" s="87"/>
      <c r="T232" s="87"/>
      <c r="U232" s="87"/>
      <c r="V232" s="87"/>
      <c r="W232" s="87"/>
      <c r="X232" s="87"/>
    </row>
    <row r="233" spans="1:24" x14ac:dyDescent="0.3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  <c r="O233" s="87"/>
      <c r="P233" s="87"/>
      <c r="Q233" s="87"/>
      <c r="R233" s="87"/>
      <c r="S233" s="87"/>
      <c r="T233" s="87"/>
      <c r="U233" s="87"/>
      <c r="V233" s="87"/>
      <c r="W233" s="87"/>
      <c r="X233" s="87"/>
    </row>
    <row r="234" spans="1:24" x14ac:dyDescent="0.3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87"/>
      <c r="Q234" s="87"/>
      <c r="R234" s="87"/>
      <c r="S234" s="87"/>
      <c r="T234" s="87"/>
      <c r="U234" s="87"/>
      <c r="V234" s="87"/>
      <c r="W234" s="87"/>
      <c r="X234" s="87"/>
    </row>
  </sheetData>
  <mergeCells count="33">
    <mergeCell ref="A1:X1"/>
    <mergeCell ref="A2:X2"/>
    <mergeCell ref="A3:X3"/>
    <mergeCell ref="A4:E6"/>
    <mergeCell ref="A7:E7"/>
    <mergeCell ref="F4:J6"/>
    <mergeCell ref="F7:J7"/>
    <mergeCell ref="K4:N6"/>
    <mergeCell ref="K7:N7"/>
    <mergeCell ref="O4:R6"/>
    <mergeCell ref="O7:R7"/>
    <mergeCell ref="S4:X6"/>
    <mergeCell ref="S7:X7"/>
    <mergeCell ref="S12:X12"/>
    <mergeCell ref="A8:X8"/>
    <mergeCell ref="A13:E13"/>
    <mergeCell ref="A21:E21"/>
    <mergeCell ref="A29:E29"/>
    <mergeCell ref="A12:E12"/>
    <mergeCell ref="F9:J11"/>
    <mergeCell ref="F12:J12"/>
    <mergeCell ref="K9:N11"/>
    <mergeCell ref="K12:N12"/>
    <mergeCell ref="O9:R11"/>
    <mergeCell ref="O12:R12"/>
    <mergeCell ref="A9:E11"/>
    <mergeCell ref="S9:X11"/>
    <mergeCell ref="F13:X68"/>
    <mergeCell ref="A45:E67"/>
    <mergeCell ref="A20:E20"/>
    <mergeCell ref="A28:E28"/>
    <mergeCell ref="A36:E36"/>
    <mergeCell ref="A37:E3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Q33"/>
  <sheetViews>
    <sheetView workbookViewId="0">
      <selection activeCell="F30" sqref="F30"/>
    </sheetView>
  </sheetViews>
  <sheetFormatPr defaultRowHeight="14.4" x14ac:dyDescent="0.3"/>
  <cols>
    <col min="1" max="1" width="11.6640625" customWidth="1"/>
    <col min="2" max="2" width="21.33203125" customWidth="1"/>
    <col min="3" max="3" width="12.88671875" customWidth="1"/>
    <col min="4" max="4" width="10.5546875" customWidth="1"/>
    <col min="5" max="5" width="11.5546875" customWidth="1"/>
    <col min="6" max="6" width="14" customWidth="1"/>
    <col min="7" max="7" width="16.77734375" customWidth="1"/>
    <col min="8" max="8" width="13.77734375" customWidth="1"/>
    <col min="9" max="9" width="15.33203125" customWidth="1"/>
    <col min="10" max="10" width="9.77734375" customWidth="1"/>
    <col min="11" max="11" width="15.5546875" customWidth="1"/>
    <col min="12" max="12" width="26.5546875" customWidth="1"/>
    <col min="13" max="13" width="23.5546875" customWidth="1"/>
    <col min="14" max="14" width="22.109375" customWidth="1"/>
    <col min="15" max="15" width="19" customWidth="1"/>
    <col min="16" max="16" width="34.77734375" customWidth="1"/>
    <col min="17" max="17" width="34.6640625" customWidth="1"/>
    <col min="18" max="26" width="10.44140625" customWidth="1"/>
    <col min="27" max="116" width="11.44140625" customWidth="1"/>
    <col min="117" max="1016" width="12.44140625" customWidth="1"/>
    <col min="1017" max="10016" width="13.44140625" customWidth="1"/>
    <col min="10017" max="16384" width="14.44140625" customWidth="1"/>
  </cols>
  <sheetData>
    <row r="1" spans="1:17" s="6" customFormat="1" ht="27.6" customHeight="1" x14ac:dyDescent="0.3">
      <c r="A1" s="184" t="s">
        <v>122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</row>
    <row r="2" spans="1:17" ht="18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25</v>
      </c>
      <c r="K3">
        <v>185000</v>
      </c>
      <c r="L3" s="1">
        <v>45672</v>
      </c>
      <c r="M3" s="1">
        <v>45669</v>
      </c>
      <c r="N3">
        <v>24</v>
      </c>
      <c r="O3" t="s">
        <v>26</v>
      </c>
      <c r="P3">
        <v>22000</v>
      </c>
      <c r="Q3">
        <v>9</v>
      </c>
    </row>
    <row r="4" spans="1:17" x14ac:dyDescent="0.3">
      <c r="A4" t="s">
        <v>27</v>
      </c>
      <c r="B4" t="s">
        <v>28</v>
      </c>
      <c r="C4" t="s">
        <v>29</v>
      </c>
      <c r="D4" t="s">
        <v>30</v>
      </c>
      <c r="E4" t="s">
        <v>21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>
        <v>92000</v>
      </c>
      <c r="L4" s="1">
        <v>45685</v>
      </c>
      <c r="N4">
        <v>31</v>
      </c>
      <c r="O4" t="s">
        <v>36</v>
      </c>
      <c r="P4">
        <v>12000</v>
      </c>
      <c r="Q4">
        <v>8</v>
      </c>
    </row>
    <row r="5" spans="1:17" x14ac:dyDescent="0.3">
      <c r="A5" t="s">
        <v>37</v>
      </c>
      <c r="B5" t="s">
        <v>38</v>
      </c>
      <c r="C5" t="s">
        <v>39</v>
      </c>
      <c r="D5" t="s">
        <v>40</v>
      </c>
      <c r="E5" t="s">
        <v>21</v>
      </c>
      <c r="F5" t="s">
        <v>41</v>
      </c>
      <c r="G5" t="s">
        <v>42</v>
      </c>
      <c r="H5" t="s">
        <v>43</v>
      </c>
      <c r="I5" t="s">
        <v>44</v>
      </c>
      <c r="J5" t="s">
        <v>35</v>
      </c>
      <c r="K5">
        <v>145000</v>
      </c>
      <c r="L5" s="1">
        <v>45698</v>
      </c>
      <c r="N5">
        <v>19</v>
      </c>
      <c r="O5" t="s">
        <v>26</v>
      </c>
      <c r="P5">
        <v>18000</v>
      </c>
      <c r="Q5">
        <v>7</v>
      </c>
    </row>
    <row r="6" spans="1:17" x14ac:dyDescent="0.3">
      <c r="A6" t="s">
        <v>45</v>
      </c>
      <c r="B6" t="s">
        <v>46</v>
      </c>
      <c r="C6" t="s">
        <v>47</v>
      </c>
      <c r="D6" t="s">
        <v>48</v>
      </c>
      <c r="E6" t="s">
        <v>21</v>
      </c>
      <c r="F6" t="s">
        <v>49</v>
      </c>
      <c r="G6" t="s">
        <v>50</v>
      </c>
      <c r="H6" t="s">
        <v>24</v>
      </c>
      <c r="I6" t="s">
        <v>51</v>
      </c>
      <c r="J6" t="s">
        <v>51</v>
      </c>
      <c r="K6">
        <v>78000</v>
      </c>
      <c r="L6" s="1">
        <v>45662</v>
      </c>
      <c r="M6" s="1">
        <v>45661</v>
      </c>
      <c r="N6">
        <v>15</v>
      </c>
      <c r="O6" t="s">
        <v>52</v>
      </c>
      <c r="P6">
        <v>6000</v>
      </c>
      <c r="Q6">
        <v>6</v>
      </c>
    </row>
    <row r="7" spans="1:17" x14ac:dyDescent="0.3">
      <c r="A7" t="s">
        <v>53</v>
      </c>
      <c r="B7" t="s">
        <v>54</v>
      </c>
      <c r="C7" t="s">
        <v>55</v>
      </c>
      <c r="D7" t="s">
        <v>20</v>
      </c>
      <c r="E7" t="s">
        <v>21</v>
      </c>
      <c r="F7" t="s">
        <v>56</v>
      </c>
      <c r="G7" t="s">
        <v>57</v>
      </c>
      <c r="H7" t="s">
        <v>58</v>
      </c>
      <c r="I7" t="s">
        <v>25</v>
      </c>
      <c r="J7" t="s">
        <v>25</v>
      </c>
      <c r="K7">
        <v>215000</v>
      </c>
      <c r="L7" s="1">
        <v>45678</v>
      </c>
      <c r="M7" s="1">
        <v>45675</v>
      </c>
      <c r="N7">
        <v>27</v>
      </c>
      <c r="O7" t="s">
        <v>26</v>
      </c>
      <c r="P7">
        <v>25000</v>
      </c>
      <c r="Q7">
        <v>9</v>
      </c>
    </row>
    <row r="8" spans="1:17" x14ac:dyDescent="0.3">
      <c r="A8" t="s">
        <v>59</v>
      </c>
      <c r="B8" t="s">
        <v>60</v>
      </c>
      <c r="C8" t="s">
        <v>19</v>
      </c>
      <c r="D8" t="s">
        <v>30</v>
      </c>
      <c r="E8" t="s">
        <v>21</v>
      </c>
      <c r="F8" t="s">
        <v>61</v>
      </c>
      <c r="G8" t="s">
        <v>32</v>
      </c>
      <c r="H8" t="s">
        <v>43</v>
      </c>
      <c r="I8" t="s">
        <v>62</v>
      </c>
      <c r="J8" t="s">
        <v>35</v>
      </c>
      <c r="K8">
        <v>69000</v>
      </c>
      <c r="L8" s="1">
        <v>45703</v>
      </c>
      <c r="N8">
        <v>12</v>
      </c>
      <c r="O8" t="s">
        <v>36</v>
      </c>
      <c r="P8">
        <v>7000</v>
      </c>
      <c r="Q8">
        <v>8</v>
      </c>
    </row>
    <row r="9" spans="1:17" x14ac:dyDescent="0.3">
      <c r="A9" t="s">
        <v>63</v>
      </c>
      <c r="B9" t="s">
        <v>64</v>
      </c>
      <c r="C9" t="s">
        <v>65</v>
      </c>
      <c r="D9" t="s">
        <v>40</v>
      </c>
      <c r="E9" t="s">
        <v>21</v>
      </c>
      <c r="F9" t="s">
        <v>66</v>
      </c>
      <c r="G9" t="s">
        <v>23</v>
      </c>
      <c r="H9" t="s">
        <v>24</v>
      </c>
      <c r="I9" t="s">
        <v>34</v>
      </c>
      <c r="J9" t="s">
        <v>35</v>
      </c>
      <c r="K9">
        <v>134000</v>
      </c>
      <c r="L9" s="1">
        <v>45689</v>
      </c>
      <c r="N9">
        <v>23</v>
      </c>
      <c r="O9" t="s">
        <v>26</v>
      </c>
      <c r="P9">
        <v>17000</v>
      </c>
      <c r="Q9">
        <v>8</v>
      </c>
    </row>
    <row r="10" spans="1:17" x14ac:dyDescent="0.3">
      <c r="A10" t="s">
        <v>67</v>
      </c>
      <c r="B10" t="s">
        <v>68</v>
      </c>
      <c r="C10" t="s">
        <v>69</v>
      </c>
      <c r="D10" t="s">
        <v>48</v>
      </c>
      <c r="E10" t="s">
        <v>21</v>
      </c>
      <c r="F10" t="s">
        <v>22</v>
      </c>
      <c r="G10" t="s">
        <v>42</v>
      </c>
      <c r="H10" t="s">
        <v>33</v>
      </c>
      <c r="I10" t="s">
        <v>25</v>
      </c>
      <c r="J10" t="s">
        <v>25</v>
      </c>
      <c r="K10">
        <v>98000</v>
      </c>
      <c r="L10" s="1">
        <v>45668</v>
      </c>
      <c r="M10" s="1">
        <v>45666</v>
      </c>
      <c r="N10">
        <v>18</v>
      </c>
      <c r="O10" t="s">
        <v>36</v>
      </c>
      <c r="P10">
        <v>11000</v>
      </c>
      <c r="Q10">
        <v>9</v>
      </c>
    </row>
    <row r="11" spans="1:17" x14ac:dyDescent="0.3">
      <c r="A11" t="s">
        <v>70</v>
      </c>
      <c r="B11" t="s">
        <v>71</v>
      </c>
      <c r="C11" t="s">
        <v>72</v>
      </c>
      <c r="D11" t="s">
        <v>20</v>
      </c>
      <c r="E11" t="s">
        <v>21</v>
      </c>
      <c r="F11" t="s">
        <v>31</v>
      </c>
      <c r="G11" t="s">
        <v>50</v>
      </c>
      <c r="H11" t="s">
        <v>58</v>
      </c>
      <c r="I11" t="s">
        <v>44</v>
      </c>
      <c r="J11" t="s">
        <v>35</v>
      </c>
      <c r="K11">
        <v>88000</v>
      </c>
      <c r="L11" s="1">
        <v>45700</v>
      </c>
      <c r="N11">
        <v>20</v>
      </c>
      <c r="O11" t="s">
        <v>52</v>
      </c>
      <c r="P11">
        <v>5000</v>
      </c>
      <c r="Q11">
        <v>7</v>
      </c>
    </row>
    <row r="12" spans="1:17" x14ac:dyDescent="0.3">
      <c r="A12" t="s">
        <v>73</v>
      </c>
      <c r="B12" t="s">
        <v>74</v>
      </c>
      <c r="C12" t="s">
        <v>75</v>
      </c>
      <c r="D12" t="s">
        <v>30</v>
      </c>
      <c r="E12" t="s">
        <v>21</v>
      </c>
      <c r="F12" t="s">
        <v>41</v>
      </c>
      <c r="G12" t="s">
        <v>57</v>
      </c>
      <c r="H12" t="s">
        <v>43</v>
      </c>
      <c r="I12" t="s">
        <v>25</v>
      </c>
      <c r="J12" t="s">
        <v>25</v>
      </c>
      <c r="K12">
        <v>248000</v>
      </c>
      <c r="L12" s="1">
        <v>45687</v>
      </c>
      <c r="M12" s="1">
        <v>45684</v>
      </c>
      <c r="N12">
        <v>34</v>
      </c>
      <c r="O12" t="s">
        <v>26</v>
      </c>
      <c r="P12">
        <v>30000</v>
      </c>
      <c r="Q12">
        <v>9</v>
      </c>
    </row>
    <row r="13" spans="1:17" x14ac:dyDescent="0.3">
      <c r="A13" t="s">
        <v>76</v>
      </c>
      <c r="B13" t="s">
        <v>77</v>
      </c>
      <c r="C13" t="s">
        <v>78</v>
      </c>
      <c r="D13" t="s">
        <v>40</v>
      </c>
      <c r="E13" t="s">
        <v>21</v>
      </c>
      <c r="F13" t="s">
        <v>49</v>
      </c>
      <c r="G13" t="s">
        <v>32</v>
      </c>
      <c r="H13" t="s">
        <v>24</v>
      </c>
      <c r="I13" t="s">
        <v>62</v>
      </c>
      <c r="J13" t="s">
        <v>35</v>
      </c>
      <c r="K13">
        <v>72000</v>
      </c>
      <c r="L13" s="1">
        <v>45705</v>
      </c>
      <c r="N13">
        <v>14</v>
      </c>
      <c r="O13" t="s">
        <v>52</v>
      </c>
      <c r="P13">
        <v>6500</v>
      </c>
      <c r="Q13">
        <v>8</v>
      </c>
    </row>
    <row r="14" spans="1:17" x14ac:dyDescent="0.3">
      <c r="A14" t="s">
        <v>79</v>
      </c>
      <c r="B14" t="s">
        <v>80</v>
      </c>
      <c r="C14" t="s">
        <v>81</v>
      </c>
      <c r="D14" t="s">
        <v>48</v>
      </c>
      <c r="E14" t="s">
        <v>21</v>
      </c>
      <c r="F14" t="s">
        <v>56</v>
      </c>
      <c r="G14" t="s">
        <v>42</v>
      </c>
      <c r="H14" t="s">
        <v>58</v>
      </c>
      <c r="I14" t="s">
        <v>25</v>
      </c>
      <c r="J14" t="s">
        <v>25</v>
      </c>
      <c r="K14">
        <v>172000</v>
      </c>
      <c r="L14" s="1">
        <v>45675</v>
      </c>
      <c r="M14" s="1">
        <v>45673</v>
      </c>
      <c r="N14">
        <v>22</v>
      </c>
      <c r="O14" t="s">
        <v>26</v>
      </c>
      <c r="P14">
        <v>21000</v>
      </c>
      <c r="Q14">
        <v>9</v>
      </c>
    </row>
    <row r="15" spans="1:17" x14ac:dyDescent="0.3">
      <c r="A15" t="s">
        <v>82</v>
      </c>
      <c r="B15" t="s">
        <v>83</v>
      </c>
      <c r="C15" t="s">
        <v>39</v>
      </c>
      <c r="D15" t="s">
        <v>20</v>
      </c>
      <c r="E15" t="s">
        <v>21</v>
      </c>
      <c r="F15" t="s">
        <v>61</v>
      </c>
      <c r="G15" t="s">
        <v>23</v>
      </c>
      <c r="H15" t="s">
        <v>33</v>
      </c>
      <c r="I15" t="s">
        <v>34</v>
      </c>
      <c r="J15" t="s">
        <v>35</v>
      </c>
      <c r="K15">
        <v>96000</v>
      </c>
      <c r="L15" s="1">
        <v>45696</v>
      </c>
      <c r="N15">
        <v>21</v>
      </c>
      <c r="O15" t="s">
        <v>36</v>
      </c>
      <c r="P15">
        <v>9000</v>
      </c>
      <c r="Q15">
        <v>7</v>
      </c>
    </row>
    <row r="16" spans="1:17" x14ac:dyDescent="0.3">
      <c r="A16" t="s">
        <v>84</v>
      </c>
      <c r="B16" t="s">
        <v>85</v>
      </c>
      <c r="C16" t="s">
        <v>86</v>
      </c>
      <c r="D16" t="s">
        <v>30</v>
      </c>
      <c r="E16" t="s">
        <v>21</v>
      </c>
      <c r="F16" t="s">
        <v>66</v>
      </c>
      <c r="G16" t="s">
        <v>32</v>
      </c>
      <c r="H16" t="s">
        <v>43</v>
      </c>
      <c r="I16" t="s">
        <v>25</v>
      </c>
      <c r="J16" t="s">
        <v>25</v>
      </c>
      <c r="K16">
        <v>189000</v>
      </c>
      <c r="L16" s="1">
        <v>45683</v>
      </c>
      <c r="M16" s="1">
        <v>45680</v>
      </c>
      <c r="N16">
        <v>29</v>
      </c>
      <c r="O16" t="s">
        <v>26</v>
      </c>
      <c r="P16">
        <v>24000</v>
      </c>
      <c r="Q16">
        <v>8</v>
      </c>
    </row>
    <row r="17" spans="1:17" x14ac:dyDescent="0.3">
      <c r="A17" t="s">
        <v>87</v>
      </c>
      <c r="B17" t="s">
        <v>88</v>
      </c>
      <c r="C17" t="s">
        <v>55</v>
      </c>
      <c r="D17" t="s">
        <v>40</v>
      </c>
      <c r="E17" t="s">
        <v>21</v>
      </c>
      <c r="F17" t="s">
        <v>22</v>
      </c>
      <c r="G17" t="s">
        <v>57</v>
      </c>
      <c r="H17" t="s">
        <v>24</v>
      </c>
      <c r="I17" t="s">
        <v>51</v>
      </c>
      <c r="J17" t="s">
        <v>51</v>
      </c>
      <c r="K17">
        <v>64000</v>
      </c>
      <c r="L17" s="1">
        <v>45666</v>
      </c>
      <c r="M17" s="1">
        <v>45665</v>
      </c>
      <c r="N17">
        <v>11</v>
      </c>
      <c r="O17" t="s">
        <v>52</v>
      </c>
      <c r="P17">
        <v>4000</v>
      </c>
      <c r="Q17">
        <v>5</v>
      </c>
    </row>
    <row r="18" spans="1:17" x14ac:dyDescent="0.3">
      <c r="A18" t="s">
        <v>89</v>
      </c>
      <c r="B18" t="s">
        <v>90</v>
      </c>
      <c r="C18" t="s">
        <v>29</v>
      </c>
      <c r="D18" t="s">
        <v>48</v>
      </c>
      <c r="E18" t="s">
        <v>21</v>
      </c>
      <c r="F18" t="s">
        <v>31</v>
      </c>
      <c r="G18" t="s">
        <v>42</v>
      </c>
      <c r="H18" t="s">
        <v>58</v>
      </c>
      <c r="I18" t="s">
        <v>25</v>
      </c>
      <c r="J18" t="s">
        <v>25</v>
      </c>
      <c r="K18">
        <v>155000</v>
      </c>
      <c r="L18" s="1">
        <v>45677</v>
      </c>
      <c r="M18" s="1">
        <v>45674</v>
      </c>
      <c r="N18">
        <v>26</v>
      </c>
      <c r="O18" t="s">
        <v>36</v>
      </c>
      <c r="P18">
        <v>16000</v>
      </c>
      <c r="Q18">
        <v>9</v>
      </c>
    </row>
    <row r="19" spans="1:17" x14ac:dyDescent="0.3">
      <c r="A19" t="s">
        <v>91</v>
      </c>
      <c r="B19" t="s">
        <v>92</v>
      </c>
      <c r="C19" t="s">
        <v>93</v>
      </c>
      <c r="D19" t="s">
        <v>20</v>
      </c>
      <c r="E19" t="s">
        <v>21</v>
      </c>
      <c r="F19" t="s">
        <v>41</v>
      </c>
      <c r="G19" t="s">
        <v>32</v>
      </c>
      <c r="H19" t="s">
        <v>33</v>
      </c>
      <c r="I19" t="s">
        <v>44</v>
      </c>
      <c r="J19" t="s">
        <v>35</v>
      </c>
      <c r="K19">
        <v>102000</v>
      </c>
      <c r="L19" s="1">
        <v>45708</v>
      </c>
      <c r="N19">
        <v>18</v>
      </c>
      <c r="O19" t="s">
        <v>36</v>
      </c>
      <c r="P19">
        <v>10000</v>
      </c>
      <c r="Q19">
        <v>8</v>
      </c>
    </row>
    <row r="20" spans="1:17" x14ac:dyDescent="0.3">
      <c r="A20" t="s">
        <v>94</v>
      </c>
      <c r="B20" t="s">
        <v>95</v>
      </c>
      <c r="C20" t="s">
        <v>47</v>
      </c>
      <c r="D20" t="s">
        <v>30</v>
      </c>
      <c r="E20" t="s">
        <v>21</v>
      </c>
      <c r="F20" t="s">
        <v>49</v>
      </c>
      <c r="G20" t="s">
        <v>23</v>
      </c>
      <c r="H20" t="s">
        <v>43</v>
      </c>
      <c r="I20" t="s">
        <v>34</v>
      </c>
      <c r="J20" t="s">
        <v>35</v>
      </c>
      <c r="K20">
        <v>138000</v>
      </c>
      <c r="L20" s="1">
        <v>45691</v>
      </c>
      <c r="N20">
        <v>24</v>
      </c>
      <c r="O20" t="s">
        <v>26</v>
      </c>
      <c r="P20">
        <v>19000</v>
      </c>
      <c r="Q20">
        <v>7</v>
      </c>
    </row>
    <row r="21" spans="1:17" x14ac:dyDescent="0.3">
      <c r="A21" t="s">
        <v>96</v>
      </c>
      <c r="B21" t="s">
        <v>97</v>
      </c>
      <c r="C21" t="s">
        <v>69</v>
      </c>
      <c r="D21" t="s">
        <v>40</v>
      </c>
      <c r="E21" t="s">
        <v>21</v>
      </c>
      <c r="F21" t="s">
        <v>56</v>
      </c>
      <c r="G21" t="s">
        <v>42</v>
      </c>
      <c r="H21" t="s">
        <v>24</v>
      </c>
      <c r="I21" t="s">
        <v>25</v>
      </c>
      <c r="J21" t="s">
        <v>25</v>
      </c>
      <c r="K21">
        <v>128000</v>
      </c>
      <c r="L21" s="1">
        <v>45670</v>
      </c>
      <c r="M21" s="1">
        <v>45668</v>
      </c>
      <c r="N21">
        <v>17</v>
      </c>
      <c r="O21" t="s">
        <v>36</v>
      </c>
      <c r="P21">
        <v>14000</v>
      </c>
      <c r="Q21">
        <v>9</v>
      </c>
    </row>
    <row r="22" spans="1:17" x14ac:dyDescent="0.3">
      <c r="A22" t="s">
        <v>98</v>
      </c>
      <c r="B22" t="s">
        <v>99</v>
      </c>
      <c r="C22" t="s">
        <v>86</v>
      </c>
      <c r="D22" t="s">
        <v>48</v>
      </c>
      <c r="E22" t="s">
        <v>21</v>
      </c>
      <c r="F22" t="s">
        <v>61</v>
      </c>
      <c r="G22" t="s">
        <v>50</v>
      </c>
      <c r="H22" t="s">
        <v>58</v>
      </c>
      <c r="I22" t="s">
        <v>62</v>
      </c>
      <c r="J22" t="s">
        <v>35</v>
      </c>
      <c r="K22">
        <v>83000</v>
      </c>
      <c r="L22" s="1">
        <v>45706</v>
      </c>
      <c r="N22">
        <v>13</v>
      </c>
      <c r="O22" t="s">
        <v>52</v>
      </c>
      <c r="P22">
        <v>6000</v>
      </c>
      <c r="Q22">
        <v>7</v>
      </c>
    </row>
    <row r="23" spans="1:17" x14ac:dyDescent="0.3">
      <c r="A23" t="s">
        <v>100</v>
      </c>
      <c r="B23" t="s">
        <v>101</v>
      </c>
      <c r="C23" t="s">
        <v>39</v>
      </c>
      <c r="D23" t="s">
        <v>20</v>
      </c>
      <c r="E23" t="s">
        <v>21</v>
      </c>
      <c r="F23" t="s">
        <v>66</v>
      </c>
      <c r="G23" t="s">
        <v>32</v>
      </c>
      <c r="H23" t="s">
        <v>43</v>
      </c>
      <c r="I23" t="s">
        <v>25</v>
      </c>
      <c r="J23" t="s">
        <v>25</v>
      </c>
      <c r="K23">
        <v>265000</v>
      </c>
      <c r="L23" s="1">
        <v>45688</v>
      </c>
      <c r="M23" s="1">
        <v>45686</v>
      </c>
      <c r="N23">
        <v>36</v>
      </c>
      <c r="O23" t="s">
        <v>26</v>
      </c>
      <c r="P23">
        <v>32000</v>
      </c>
      <c r="Q23">
        <v>10</v>
      </c>
    </row>
    <row r="24" spans="1:17" x14ac:dyDescent="0.3">
      <c r="A24" t="s">
        <v>102</v>
      </c>
      <c r="B24" t="s">
        <v>103</v>
      </c>
      <c r="C24" t="s">
        <v>47</v>
      </c>
      <c r="D24" t="s">
        <v>30</v>
      </c>
      <c r="E24" t="s">
        <v>21</v>
      </c>
      <c r="F24" t="s">
        <v>22</v>
      </c>
      <c r="G24" t="s">
        <v>57</v>
      </c>
      <c r="H24" t="s">
        <v>24</v>
      </c>
      <c r="I24" t="s">
        <v>44</v>
      </c>
      <c r="J24" t="s">
        <v>35</v>
      </c>
      <c r="K24">
        <v>119000</v>
      </c>
      <c r="L24" s="1">
        <v>45710</v>
      </c>
      <c r="N24">
        <v>22</v>
      </c>
      <c r="O24" t="s">
        <v>26</v>
      </c>
      <c r="P24">
        <v>15000</v>
      </c>
      <c r="Q24">
        <v>8</v>
      </c>
    </row>
    <row r="25" spans="1:17" x14ac:dyDescent="0.3">
      <c r="A25" t="s">
        <v>104</v>
      </c>
      <c r="B25" t="s">
        <v>105</v>
      </c>
      <c r="C25" t="s">
        <v>78</v>
      </c>
      <c r="D25" t="s">
        <v>40</v>
      </c>
      <c r="E25" t="s">
        <v>21</v>
      </c>
      <c r="F25" t="s">
        <v>31</v>
      </c>
      <c r="G25" t="s">
        <v>23</v>
      </c>
      <c r="H25" t="s">
        <v>33</v>
      </c>
      <c r="I25" t="s">
        <v>25</v>
      </c>
      <c r="J25" t="s">
        <v>25</v>
      </c>
      <c r="K25">
        <v>97000</v>
      </c>
      <c r="L25" s="1">
        <v>45673</v>
      </c>
      <c r="M25" s="1">
        <v>45671</v>
      </c>
      <c r="N25">
        <v>19</v>
      </c>
      <c r="O25" t="s">
        <v>36</v>
      </c>
      <c r="P25">
        <v>11000</v>
      </c>
      <c r="Q25">
        <v>9</v>
      </c>
    </row>
    <row r="26" spans="1:17" x14ac:dyDescent="0.3">
      <c r="A26" t="s">
        <v>106</v>
      </c>
      <c r="B26" t="s">
        <v>107</v>
      </c>
      <c r="C26" t="s">
        <v>81</v>
      </c>
      <c r="D26" t="s">
        <v>48</v>
      </c>
      <c r="E26" t="s">
        <v>21</v>
      </c>
      <c r="F26" t="s">
        <v>41</v>
      </c>
      <c r="G26" t="s">
        <v>42</v>
      </c>
      <c r="H26" t="s">
        <v>58</v>
      </c>
      <c r="I26" t="s">
        <v>34</v>
      </c>
      <c r="J26" t="s">
        <v>35</v>
      </c>
      <c r="K26">
        <v>126000</v>
      </c>
      <c r="L26" s="1">
        <v>45694</v>
      </c>
      <c r="N26">
        <v>25</v>
      </c>
      <c r="O26" t="s">
        <v>26</v>
      </c>
      <c r="P26">
        <v>17000</v>
      </c>
      <c r="Q26">
        <v>8</v>
      </c>
    </row>
    <row r="27" spans="1:17" x14ac:dyDescent="0.3">
      <c r="A27" t="s">
        <v>108</v>
      </c>
      <c r="B27" t="s">
        <v>109</v>
      </c>
      <c r="C27" t="s">
        <v>93</v>
      </c>
      <c r="D27" t="s">
        <v>20</v>
      </c>
      <c r="E27" t="s">
        <v>21</v>
      </c>
      <c r="F27" t="s">
        <v>49</v>
      </c>
      <c r="G27" t="s">
        <v>32</v>
      </c>
      <c r="H27" t="s">
        <v>24</v>
      </c>
      <c r="I27" t="s">
        <v>25</v>
      </c>
      <c r="J27" t="s">
        <v>25</v>
      </c>
      <c r="K27">
        <v>142000</v>
      </c>
      <c r="L27" s="1">
        <v>45681</v>
      </c>
      <c r="M27" s="1">
        <v>45678</v>
      </c>
      <c r="N27">
        <v>28</v>
      </c>
      <c r="O27" t="s">
        <v>36</v>
      </c>
      <c r="P27">
        <v>15000</v>
      </c>
      <c r="Q27">
        <v>9</v>
      </c>
    </row>
    <row r="28" spans="1:17" x14ac:dyDescent="0.3">
      <c r="A28" t="s">
        <v>110</v>
      </c>
      <c r="B28" t="s">
        <v>111</v>
      </c>
      <c r="C28" t="s">
        <v>55</v>
      </c>
      <c r="D28" t="s">
        <v>30</v>
      </c>
      <c r="E28" t="s">
        <v>21</v>
      </c>
      <c r="F28" t="s">
        <v>56</v>
      </c>
      <c r="G28" t="s">
        <v>50</v>
      </c>
      <c r="H28" t="s">
        <v>43</v>
      </c>
      <c r="I28" t="s">
        <v>51</v>
      </c>
      <c r="J28" t="s">
        <v>51</v>
      </c>
      <c r="K28">
        <v>71000</v>
      </c>
      <c r="L28" s="1">
        <v>45664</v>
      </c>
      <c r="M28" s="1">
        <v>45662</v>
      </c>
      <c r="N28">
        <v>10</v>
      </c>
      <c r="O28" t="s">
        <v>52</v>
      </c>
      <c r="P28">
        <v>5000</v>
      </c>
      <c r="Q28">
        <v>6</v>
      </c>
    </row>
    <row r="29" spans="1:17" x14ac:dyDescent="0.3">
      <c r="A29" t="s">
        <v>112</v>
      </c>
      <c r="B29" t="s">
        <v>113</v>
      </c>
      <c r="C29" t="s">
        <v>72</v>
      </c>
      <c r="D29" t="s">
        <v>40</v>
      </c>
      <c r="E29" t="s">
        <v>21</v>
      </c>
      <c r="F29" t="s">
        <v>61</v>
      </c>
      <c r="G29" t="s">
        <v>42</v>
      </c>
      <c r="H29" t="s">
        <v>33</v>
      </c>
      <c r="I29" t="s">
        <v>62</v>
      </c>
      <c r="J29" t="s">
        <v>35</v>
      </c>
      <c r="K29">
        <v>68000</v>
      </c>
      <c r="L29" s="1">
        <v>45704</v>
      </c>
      <c r="N29">
        <v>15</v>
      </c>
      <c r="O29" t="s">
        <v>52</v>
      </c>
      <c r="P29">
        <v>5500</v>
      </c>
      <c r="Q29">
        <v>8</v>
      </c>
    </row>
    <row r="30" spans="1:17" x14ac:dyDescent="0.3">
      <c r="A30" t="s">
        <v>114</v>
      </c>
      <c r="B30" t="s">
        <v>115</v>
      </c>
      <c r="C30" t="s">
        <v>116</v>
      </c>
      <c r="D30" t="s">
        <v>48</v>
      </c>
      <c r="E30" t="s">
        <v>21</v>
      </c>
      <c r="F30" t="s">
        <v>66</v>
      </c>
      <c r="G30" t="s">
        <v>23</v>
      </c>
      <c r="H30" t="s">
        <v>58</v>
      </c>
      <c r="I30" t="s">
        <v>25</v>
      </c>
      <c r="J30" t="s">
        <v>25</v>
      </c>
      <c r="K30">
        <v>232000</v>
      </c>
      <c r="L30" s="1">
        <v>45686</v>
      </c>
      <c r="M30" s="1">
        <v>45683</v>
      </c>
      <c r="N30">
        <v>33</v>
      </c>
      <c r="O30" t="s">
        <v>26</v>
      </c>
      <c r="P30">
        <v>28000</v>
      </c>
      <c r="Q30">
        <v>9</v>
      </c>
    </row>
    <row r="31" spans="1:17" x14ac:dyDescent="0.3">
      <c r="A31" t="s">
        <v>117</v>
      </c>
      <c r="B31" t="s">
        <v>118</v>
      </c>
      <c r="C31" t="s">
        <v>29</v>
      </c>
      <c r="D31" t="s">
        <v>20</v>
      </c>
      <c r="E31" t="s">
        <v>21</v>
      </c>
      <c r="F31" t="s">
        <v>22</v>
      </c>
      <c r="G31" t="s">
        <v>32</v>
      </c>
      <c r="H31" t="s">
        <v>24</v>
      </c>
      <c r="I31" t="s">
        <v>34</v>
      </c>
      <c r="J31" t="s">
        <v>35</v>
      </c>
      <c r="K31">
        <v>151000</v>
      </c>
      <c r="L31" s="1">
        <v>45699</v>
      </c>
      <c r="N31">
        <v>27</v>
      </c>
      <c r="O31" t="s">
        <v>26</v>
      </c>
      <c r="P31">
        <v>20000</v>
      </c>
      <c r="Q31">
        <v>8</v>
      </c>
    </row>
    <row r="32" spans="1:17" x14ac:dyDescent="0.3">
      <c r="A32" t="s">
        <v>119</v>
      </c>
      <c r="B32" t="s">
        <v>120</v>
      </c>
      <c r="C32" t="s">
        <v>19</v>
      </c>
      <c r="D32" t="s">
        <v>30</v>
      </c>
      <c r="E32" t="s">
        <v>21</v>
      </c>
      <c r="F32" t="s">
        <v>31</v>
      </c>
      <c r="G32" t="s">
        <v>57</v>
      </c>
      <c r="H32" t="s">
        <v>43</v>
      </c>
      <c r="I32" t="s">
        <v>25</v>
      </c>
      <c r="J32" t="s">
        <v>25</v>
      </c>
      <c r="K32">
        <v>118000</v>
      </c>
      <c r="L32" s="1">
        <v>45676</v>
      </c>
      <c r="M32" s="1">
        <v>45674</v>
      </c>
      <c r="N32">
        <v>20</v>
      </c>
      <c r="O32" t="s">
        <v>36</v>
      </c>
      <c r="P32">
        <v>13000</v>
      </c>
      <c r="Q32">
        <v>9</v>
      </c>
    </row>
    <row r="33" spans="1:17" ht="18" x14ac:dyDescent="0.35">
      <c r="A33" s="182" t="s">
        <v>121</v>
      </c>
      <c r="B33" s="183"/>
      <c r="C33" s="183"/>
      <c r="D33" s="183"/>
      <c r="E33" s="183"/>
      <c r="F33" s="183"/>
      <c r="G33" s="183"/>
      <c r="H33" s="183"/>
      <c r="I33" s="183"/>
      <c r="J33" s="183"/>
      <c r="K33" s="5">
        <f>SUBTOTAL(109,CRM_Data[Deal_Value])</f>
        <v>3940000</v>
      </c>
      <c r="L33" s="2"/>
      <c r="M33" s="2"/>
      <c r="N33" s="2"/>
      <c r="O33" s="2"/>
      <c r="P33" s="4">
        <f>SUBTOTAL(109,CRM_Data[Monthly_Recurring_Revenue])</f>
        <v>444000</v>
      </c>
      <c r="Q33" s="2"/>
    </row>
  </sheetData>
  <mergeCells count="2">
    <mergeCell ref="A33:J33"/>
    <mergeCell ref="A1:Q1"/>
  </mergeCells>
  <conditionalFormatting sqref="I3:I32">
    <cfRule type="cellIs" dxfId="4" priority="1" operator="equal">
      <formula>"Proposal"</formula>
    </cfRule>
    <cfRule type="cellIs" dxfId="3" priority="2" operator="equal">
      <formula>"Qualified"</formula>
    </cfRule>
    <cfRule type="cellIs" dxfId="2" priority="3" operator="equal">
      <formula>"Lost"</formula>
    </cfRule>
    <cfRule type="cellIs" dxfId="1" priority="4" operator="equal">
      <formula>"Negotiation"</formula>
    </cfRule>
    <cfRule type="cellIs" dxfId="0" priority="5" operator="equal">
      <formula>"Won"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O44"/>
  <sheetViews>
    <sheetView zoomScale="70" zoomScaleNormal="70" workbookViewId="0">
      <selection activeCell="U10" sqref="U10:Y17"/>
    </sheetView>
  </sheetViews>
  <sheetFormatPr defaultRowHeight="14.4" x14ac:dyDescent="0.3"/>
  <cols>
    <col min="1" max="1" width="18.21875" customWidth="1"/>
    <col min="2" max="2" width="12.33203125" customWidth="1"/>
    <col min="3" max="3" width="5.88671875" customWidth="1"/>
    <col min="4" max="4" width="5.33203125" customWidth="1"/>
    <col min="5" max="5" width="6.5546875" customWidth="1"/>
    <col min="6" max="6" width="17.21875" customWidth="1"/>
    <col min="7" max="7" width="19.88671875" customWidth="1"/>
    <col min="8" max="8" width="10.33203125" customWidth="1"/>
    <col min="9" max="9" width="14.44140625" customWidth="1"/>
    <col min="10" max="10" width="10.5546875" customWidth="1"/>
    <col min="11" max="11" width="14.21875" customWidth="1"/>
  </cols>
  <sheetData>
    <row r="1" spans="1:15" ht="28.8" x14ac:dyDescent="0.3">
      <c r="A1" s="186" t="s">
        <v>130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57"/>
      <c r="M1" s="157"/>
      <c r="N1" s="157"/>
      <c r="O1" s="157"/>
    </row>
    <row r="2" spans="1:15" x14ac:dyDescent="0.3">
      <c r="A2" s="187" t="s">
        <v>131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57"/>
      <c r="M2" s="157"/>
      <c r="N2" s="157"/>
      <c r="O2" s="157"/>
    </row>
    <row r="3" spans="1:15" ht="18" x14ac:dyDescent="0.35">
      <c r="A3" s="10" t="s">
        <v>132</v>
      </c>
      <c r="B3" s="11" t="s">
        <v>133</v>
      </c>
      <c r="C3" s="11" t="s">
        <v>25</v>
      </c>
      <c r="D3" s="10" t="s">
        <v>51</v>
      </c>
      <c r="E3" s="12" t="s">
        <v>35</v>
      </c>
      <c r="F3" s="12" t="s">
        <v>134</v>
      </c>
      <c r="G3" s="10" t="s">
        <v>135</v>
      </c>
      <c r="H3" s="13" t="s">
        <v>136</v>
      </c>
      <c r="I3" s="12" t="s">
        <v>137</v>
      </c>
      <c r="J3" s="10" t="s">
        <v>138</v>
      </c>
      <c r="K3" s="13" t="s">
        <v>139</v>
      </c>
      <c r="L3" s="157"/>
      <c r="M3" s="157"/>
      <c r="N3" s="157"/>
      <c r="O3" s="157"/>
    </row>
    <row r="4" spans="1:15" ht="21" x14ac:dyDescent="0.4">
      <c r="A4" s="20" t="str">
        <f>CRM_Data[Sales_Rep]</f>
        <v>Priya Verma</v>
      </c>
      <c r="B4" s="21">
        <f>COUNTIFS(CRM_Data!F:F,A4)</f>
        <v>5</v>
      </c>
      <c r="C4" s="21">
        <f>COUNTIFS(CRM_Data!F:F,A4,CRM_Data!J:J,"Won")</f>
        <v>3</v>
      </c>
      <c r="D4" s="21">
        <f>COUNTIFS(CRM_Data!F:F,A4,CRM_Data!J:J,"Lost")</f>
        <v>0</v>
      </c>
      <c r="E4" s="21">
        <f>COUNTIFS(CRM_Data!F:F,A4,CRM_Data!J:J,"Open")</f>
        <v>2</v>
      </c>
      <c r="F4" s="21">
        <f>SUMIFS(CRM_Data!K:K,CRM_Data!F:F,A4)</f>
        <v>550000</v>
      </c>
      <c r="G4" s="21">
        <f>SUMIFS(CRM_Data!K:K,CRM_Data!F:F,A4,CRM_Data!J:J,"Won")</f>
        <v>370000</v>
      </c>
      <c r="H4" s="22">
        <f t="shared" ref="H4:H11" si="0">C4/B4</f>
        <v>0.6</v>
      </c>
      <c r="I4" s="21">
        <f>AVERAGEIFS(CRM_Data!K:K,CRM_Data!F:F,A4)</f>
        <v>110000</v>
      </c>
      <c r="J4" s="21">
        <f>AVERAGEIFS(CRM_Data!Q:Q,CRM_Data!F:F,A4)</f>
        <v>8.4</v>
      </c>
      <c r="K4" s="21">
        <f>AVERAGEIFS(CRM_Data!N:N,CRM_Data!F:F,A4)</f>
        <v>23.2</v>
      </c>
      <c r="L4" s="157"/>
      <c r="M4" s="157"/>
      <c r="N4" s="157"/>
      <c r="O4" s="157"/>
    </row>
    <row r="5" spans="1:15" ht="21" x14ac:dyDescent="0.4">
      <c r="A5" s="23" t="str">
        <f>CRM_Data[Sales_Rep]</f>
        <v>Arjun Mehta</v>
      </c>
      <c r="B5" s="24">
        <f>COUNTIFS(CRM_Data!F:F,A5)</f>
        <v>4</v>
      </c>
      <c r="C5" s="24">
        <f>COUNTIFS(CRM_Data!F:F,A5,CRM_Data!J:J,"Won")</f>
        <v>1</v>
      </c>
      <c r="D5" s="24">
        <f>COUNTIFS(CRM_Data!F:F,A5,CRM_Data!J:J,"Lost")</f>
        <v>0</v>
      </c>
      <c r="E5" s="24">
        <f>COUNTIFS(CRM_Data!F:F,A5,CRM_Data!J:J,"Open")</f>
        <v>3</v>
      </c>
      <c r="F5" s="24">
        <f>SUMIFS(CRM_Data!K:K,CRM_Data!F:F,A5)</f>
        <v>621000</v>
      </c>
      <c r="G5" s="24">
        <f>SUMIFS(CRM_Data!K:K,CRM_Data!F:F,A5,CRM_Data!J:J,"Won")</f>
        <v>248000</v>
      </c>
      <c r="H5" s="25">
        <f t="shared" si="0"/>
        <v>0.25</v>
      </c>
      <c r="I5" s="24">
        <f>AVERAGEIFS(CRM_Data!K:K,CRM_Data!F:F,A5)</f>
        <v>155250</v>
      </c>
      <c r="J5" s="24">
        <f>AVERAGEIFS(CRM_Data!Q:Q,CRM_Data!F:F,A5)</f>
        <v>8</v>
      </c>
      <c r="K5" s="24">
        <f>AVERAGEIFS(CRM_Data!N:N,CRM_Data!F:F,A5)</f>
        <v>24</v>
      </c>
      <c r="L5" s="157"/>
      <c r="M5" s="157"/>
      <c r="N5" s="157"/>
      <c r="O5" s="157"/>
    </row>
    <row r="6" spans="1:15" ht="21" x14ac:dyDescent="0.4">
      <c r="A6" s="26" t="str">
        <f>CRM_Data[Sales_Rep]</f>
        <v>Sneha Kapoor</v>
      </c>
      <c r="B6" s="26">
        <f>COUNTIFS(CRM_Data!F:F,A6)</f>
        <v>4</v>
      </c>
      <c r="C6" s="26">
        <f>COUNTIFS(CRM_Data!F:F,A6,CRM_Data!J:J,"Won")</f>
        <v>1</v>
      </c>
      <c r="D6" s="26">
        <f>COUNTIFS(CRM_Data!F:F,A6,CRM_Data!J:J,"Lost")</f>
        <v>1</v>
      </c>
      <c r="E6" s="26">
        <f>COUNTIFS(CRM_Data!F:F,A6,CRM_Data!J:J,"Open")</f>
        <v>2</v>
      </c>
      <c r="F6" s="26">
        <f>SUMIFS(CRM_Data!K:K,CRM_Data!F:F,A6)</f>
        <v>430000</v>
      </c>
      <c r="G6" s="26">
        <f>SUMIFS(CRM_Data!K:K,CRM_Data!F:F,A6,CRM_Data!J:J,"Won")</f>
        <v>142000</v>
      </c>
      <c r="H6" s="27">
        <f t="shared" si="0"/>
        <v>0.25</v>
      </c>
      <c r="I6" s="26">
        <f>AVERAGEIFS(CRM_Data!K:K,CRM_Data!F:F,A6)</f>
        <v>107500</v>
      </c>
      <c r="J6" s="26">
        <f>AVERAGEIFS(CRM_Data!Q:Q,CRM_Data!F:F,A6)</f>
        <v>7.5</v>
      </c>
      <c r="K6" s="26">
        <f>AVERAGEIFS(CRM_Data!N:N,CRM_Data!F:F,A6)</f>
        <v>20.25</v>
      </c>
      <c r="L6" s="157"/>
      <c r="M6" s="157"/>
      <c r="N6" s="157"/>
      <c r="O6" s="157"/>
    </row>
    <row r="7" spans="1:15" ht="21" x14ac:dyDescent="0.4">
      <c r="A7" s="28" t="str">
        <f>CRM_Data[Sales_Rep]</f>
        <v>Aman Gupta</v>
      </c>
      <c r="B7" s="28">
        <f>COUNTIFS(CRM_Data!F:F,A7)</f>
        <v>4</v>
      </c>
      <c r="C7" s="28">
        <f>COUNTIFS(CRM_Data!F:F,A7,CRM_Data!J:J,"Won")</f>
        <v>3</v>
      </c>
      <c r="D7" s="28">
        <f>COUNTIFS(CRM_Data!F:F,A7,CRM_Data!J:J,"Lost")</f>
        <v>1</v>
      </c>
      <c r="E7" s="28">
        <f>COUNTIFS(CRM_Data!F:F,A7,CRM_Data!J:J,"Open")</f>
        <v>0</v>
      </c>
      <c r="F7" s="28">
        <f>SUMIFS(CRM_Data!K:K,CRM_Data!F:F,A7)</f>
        <v>586000</v>
      </c>
      <c r="G7" s="28">
        <f>SUMIFS(CRM_Data!K:K,CRM_Data!F:F,A7,CRM_Data!J:J,"Won")</f>
        <v>515000</v>
      </c>
      <c r="H7" s="29">
        <f t="shared" si="0"/>
        <v>0.75</v>
      </c>
      <c r="I7" s="28">
        <f>AVERAGEIFS(CRM_Data!K:K,CRM_Data!F:F,A7)</f>
        <v>146500</v>
      </c>
      <c r="J7" s="28">
        <f>AVERAGEIFS(CRM_Data!Q:Q,CRM_Data!F:F,A7)</f>
        <v>8.25</v>
      </c>
      <c r="K7" s="28">
        <f>AVERAGEIFS(CRM_Data!N:N,CRM_Data!F:F,A7)</f>
        <v>19</v>
      </c>
      <c r="L7" s="157"/>
      <c r="M7" s="157"/>
      <c r="N7" s="157"/>
      <c r="O7" s="157"/>
    </row>
    <row r="8" spans="1:15" ht="21" x14ac:dyDescent="0.4">
      <c r="A8" s="30" t="str">
        <f>CRM_Data[Sales_Rep]</f>
        <v>Karan Singh</v>
      </c>
      <c r="B8" s="30">
        <f>COUNTIFS(CRM_Data!F:F,A8)</f>
        <v>4</v>
      </c>
      <c r="C8" s="30">
        <f>COUNTIFS(CRM_Data!F:F,A8,CRM_Data!J:J,"Won")</f>
        <v>0</v>
      </c>
      <c r="D8" s="30">
        <f>COUNTIFS(CRM_Data!F:F,A8,CRM_Data!J:J,"Lost")</f>
        <v>0</v>
      </c>
      <c r="E8" s="30">
        <f>COUNTIFS(CRM_Data!F:F,A8,CRM_Data!J:J,"Open")</f>
        <v>4</v>
      </c>
      <c r="F8" s="30">
        <f>SUMIFS(CRM_Data!K:K,CRM_Data!F:F,A8)</f>
        <v>316000</v>
      </c>
      <c r="G8" s="30">
        <f>SUMIFS(CRM_Data!K:K,CRM_Data!F:F,A8,CRM_Data!J:J,"Won")</f>
        <v>0</v>
      </c>
      <c r="H8" s="31">
        <f t="shared" si="0"/>
        <v>0</v>
      </c>
      <c r="I8" s="30">
        <f>AVERAGEIFS(CRM_Data!K:K,CRM_Data!F:F,A8)</f>
        <v>79000</v>
      </c>
      <c r="J8" s="30">
        <f>AVERAGEIFS(CRM_Data!Q:Q,CRM_Data!F:F,A8)</f>
        <v>7.5</v>
      </c>
      <c r="K8" s="30">
        <f>AVERAGEIFS(CRM_Data!N:N,CRM_Data!F:F,A8)</f>
        <v>15.25</v>
      </c>
      <c r="L8" s="157"/>
      <c r="M8" s="157"/>
      <c r="N8" s="157"/>
      <c r="O8" s="157"/>
    </row>
    <row r="9" spans="1:15" ht="21" x14ac:dyDescent="0.4">
      <c r="A9" s="32" t="str">
        <f>CRM_Data[Sales_Rep]</f>
        <v>Pooja Iyer</v>
      </c>
      <c r="B9" s="32">
        <f>COUNTIFS(CRM_Data!F:F,A9)</f>
        <v>4</v>
      </c>
      <c r="C9" s="32">
        <f>COUNTIFS(CRM_Data!F:F,A9,CRM_Data!J:J,"Won")</f>
        <v>3</v>
      </c>
      <c r="D9" s="32">
        <f>COUNTIFS(CRM_Data!F:F,A9,CRM_Data!J:J,"Lost")</f>
        <v>0</v>
      </c>
      <c r="E9" s="32">
        <f>COUNTIFS(CRM_Data!F:F,A9,CRM_Data!J:J,"Open")</f>
        <v>1</v>
      </c>
      <c r="F9" s="32">
        <f>SUMIFS(CRM_Data!K:K,CRM_Data!F:F,A9)</f>
        <v>820000</v>
      </c>
      <c r="G9" s="32">
        <f>SUMIFS(CRM_Data!K:K,CRM_Data!F:F,A9,CRM_Data!J:J,"Won")</f>
        <v>686000</v>
      </c>
      <c r="H9" s="33">
        <f t="shared" si="0"/>
        <v>0.75</v>
      </c>
      <c r="I9" s="32">
        <f>AVERAGEIFS(CRM_Data!K:K,CRM_Data!F:F,A9)</f>
        <v>205000</v>
      </c>
      <c r="J9" s="32">
        <f>AVERAGEIFS(CRM_Data!Q:Q,CRM_Data!F:F,A9)</f>
        <v>8.75</v>
      </c>
      <c r="K9" s="32">
        <f>AVERAGEIFS(CRM_Data!N:N,CRM_Data!F:F,A9)</f>
        <v>30.25</v>
      </c>
      <c r="L9" s="157"/>
      <c r="M9" s="157"/>
      <c r="N9" s="157"/>
      <c r="O9" s="157"/>
    </row>
    <row r="10" spans="1:15" ht="21" x14ac:dyDescent="0.4">
      <c r="A10" s="34" t="str">
        <f>CRM_Data[Sales_Rep]</f>
        <v>Rahul Sharma</v>
      </c>
      <c r="B10" s="35">
        <f>COUNTIFS(CRM_Data!F:F,A10)</f>
        <v>5</v>
      </c>
      <c r="C10" s="35">
        <f>COUNTIFS(CRM_Data!F:F,A10,CRM_Data!J:J,"Won")</f>
        <v>2</v>
      </c>
      <c r="D10" s="35">
        <f>COUNTIFS(CRM_Data!F:F,A10,CRM_Data!J:J,"Lost")</f>
        <v>1</v>
      </c>
      <c r="E10" s="35">
        <f>COUNTIFS(CRM_Data!F:F,A10,CRM_Data!J:J,"Open")</f>
        <v>2</v>
      </c>
      <c r="F10" s="35">
        <f>SUMIFS(CRM_Data!K:K,CRM_Data!F:F,A10)</f>
        <v>617000</v>
      </c>
      <c r="G10" s="35">
        <f>SUMIFS(CRM_Data!K:K,CRM_Data!F:F,A10,CRM_Data!J:J,"Won")</f>
        <v>283000</v>
      </c>
      <c r="H10" s="36">
        <f t="shared" si="0"/>
        <v>0.4</v>
      </c>
      <c r="I10" s="35">
        <f>AVERAGEIFS(CRM_Data!K:K,CRM_Data!F:F,A10)</f>
        <v>123400</v>
      </c>
      <c r="J10" s="35">
        <f>AVERAGEIFS(CRM_Data!Q:Q,CRM_Data!F:F,A10)</f>
        <v>7.8</v>
      </c>
      <c r="K10" s="35">
        <f>AVERAGEIFS(CRM_Data!N:N,CRM_Data!F:F,A10)</f>
        <v>20.399999999999999</v>
      </c>
      <c r="L10" s="157"/>
      <c r="M10" s="157"/>
      <c r="N10" s="157"/>
      <c r="O10" s="157"/>
    </row>
    <row r="11" spans="1:15" ht="18" x14ac:dyDescent="0.3">
      <c r="A11" s="14" t="s">
        <v>121</v>
      </c>
      <c r="B11" s="15">
        <f t="shared" ref="B11:G11" si="1">SUM(B4:B10)</f>
        <v>30</v>
      </c>
      <c r="C11" s="19">
        <f t="shared" si="1"/>
        <v>13</v>
      </c>
      <c r="D11" s="14">
        <f t="shared" si="1"/>
        <v>3</v>
      </c>
      <c r="E11" s="15">
        <f t="shared" si="1"/>
        <v>14</v>
      </c>
      <c r="F11" s="16">
        <f t="shared" si="1"/>
        <v>3940000</v>
      </c>
      <c r="G11" s="14">
        <f t="shared" si="1"/>
        <v>2244000</v>
      </c>
      <c r="H11" s="17">
        <f t="shared" si="0"/>
        <v>0.43333333333333335</v>
      </c>
      <c r="I11" s="14">
        <f>SUM(I4:I10)</f>
        <v>926650</v>
      </c>
      <c r="J11" s="18">
        <f>AVERAGE(J4:J10)</f>
        <v>8.0285714285714285</v>
      </c>
      <c r="K11" s="18">
        <f>AVERAGE(K4:K10)</f>
        <v>21.764285714285712</v>
      </c>
      <c r="L11" s="157"/>
      <c r="M11" s="157"/>
      <c r="N11" s="157"/>
      <c r="O11" s="157"/>
    </row>
    <row r="12" spans="1:15" x14ac:dyDescent="0.3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</row>
    <row r="13" spans="1:15" x14ac:dyDescent="0.3">
      <c r="A13" s="157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</row>
    <row r="14" spans="1:15" x14ac:dyDescent="0.3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</row>
    <row r="15" spans="1:15" x14ac:dyDescent="0.3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</row>
    <row r="16" spans="1:15" x14ac:dyDescent="0.3">
      <c r="A16" s="157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</row>
    <row r="17" spans="1:15" x14ac:dyDescent="0.3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</row>
    <row r="18" spans="1:15" x14ac:dyDescent="0.3">
      <c r="A18" s="157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</row>
    <row r="19" spans="1:15" x14ac:dyDescent="0.3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</row>
    <row r="20" spans="1:15" x14ac:dyDescent="0.3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</row>
    <row r="21" spans="1:15" x14ac:dyDescent="0.3">
      <c r="A21" s="157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</row>
    <row r="22" spans="1:15" x14ac:dyDescent="0.3">
      <c r="A22" s="157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</row>
    <row r="23" spans="1:15" x14ac:dyDescent="0.3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</row>
    <row r="24" spans="1:15" x14ac:dyDescent="0.3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</row>
    <row r="25" spans="1:15" x14ac:dyDescent="0.3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</row>
    <row r="26" spans="1:15" x14ac:dyDescent="0.3">
      <c r="A26" s="157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</row>
    <row r="27" spans="1:15" x14ac:dyDescent="0.3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</row>
    <row r="28" spans="1:15" x14ac:dyDescent="0.3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</row>
    <row r="29" spans="1:15" x14ac:dyDescent="0.3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</row>
    <row r="30" spans="1:15" x14ac:dyDescent="0.3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</row>
    <row r="31" spans="1:15" x14ac:dyDescent="0.3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</row>
    <row r="32" spans="1:15" x14ac:dyDescent="0.3">
      <c r="A32" s="157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</row>
    <row r="33" spans="1:15" x14ac:dyDescent="0.3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</row>
    <row r="34" spans="1:15" x14ac:dyDescent="0.3">
      <c r="A34" s="157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</row>
    <row r="35" spans="1:15" x14ac:dyDescent="0.3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</row>
    <row r="36" spans="1:15" x14ac:dyDescent="0.3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</row>
    <row r="37" spans="1:15" x14ac:dyDescent="0.3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</row>
    <row r="38" spans="1:15" x14ac:dyDescent="0.3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</row>
    <row r="39" spans="1:15" x14ac:dyDescent="0.3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</row>
    <row r="40" spans="1:15" x14ac:dyDescent="0.3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</row>
    <row r="41" spans="1:15" x14ac:dyDescent="0.3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</row>
    <row r="42" spans="1:15" x14ac:dyDescent="0.3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</row>
    <row r="43" spans="1:15" x14ac:dyDescent="0.3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</row>
    <row r="44" spans="1:15" x14ac:dyDescent="0.3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</row>
  </sheetData>
  <mergeCells count="5">
    <mergeCell ref="A12:O12"/>
    <mergeCell ref="L1:O11"/>
    <mergeCell ref="A13:O44"/>
    <mergeCell ref="A1:K1"/>
    <mergeCell ref="A2:K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O52"/>
  <sheetViews>
    <sheetView zoomScale="85" zoomScaleNormal="85" workbookViewId="0">
      <selection activeCell="A9" sqref="A9:O52"/>
    </sheetView>
  </sheetViews>
  <sheetFormatPr defaultRowHeight="14.4" x14ac:dyDescent="0.3"/>
  <cols>
    <col min="1" max="1" width="10.6640625" customWidth="1"/>
    <col min="2" max="2" width="8.77734375" customWidth="1"/>
    <col min="3" max="3" width="19.44140625" customWidth="1"/>
    <col min="4" max="4" width="14.21875" customWidth="1"/>
    <col min="5" max="5" width="16.88671875" customWidth="1"/>
    <col min="6" max="6" width="12" customWidth="1"/>
    <col min="7" max="7" width="39.109375" bestFit="1" customWidth="1"/>
  </cols>
  <sheetData>
    <row r="1" spans="1:15" ht="21" x14ac:dyDescent="0.3">
      <c r="A1" s="188" t="s">
        <v>140</v>
      </c>
      <c r="B1" s="188"/>
      <c r="C1" s="188"/>
      <c r="D1" s="188"/>
      <c r="E1" s="188"/>
      <c r="F1" s="188"/>
      <c r="G1" s="188"/>
      <c r="H1" s="157"/>
      <c r="I1" s="157"/>
      <c r="J1" s="157"/>
      <c r="K1" s="157"/>
      <c r="L1" s="157"/>
      <c r="M1" s="157"/>
      <c r="N1" s="157"/>
      <c r="O1" s="157"/>
    </row>
    <row r="2" spans="1:15" ht="18" x14ac:dyDescent="0.35">
      <c r="A2" s="40" t="s">
        <v>141</v>
      </c>
      <c r="B2" s="41" t="s">
        <v>142</v>
      </c>
      <c r="C2" s="41" t="s">
        <v>134</v>
      </c>
      <c r="D2" s="41" t="s">
        <v>143</v>
      </c>
      <c r="E2" s="41" t="s">
        <v>137</v>
      </c>
      <c r="F2" s="42" t="s">
        <v>144</v>
      </c>
      <c r="G2" s="41" t="s">
        <v>145</v>
      </c>
      <c r="H2" s="157"/>
      <c r="I2" s="157"/>
      <c r="J2" s="157"/>
      <c r="K2" s="157"/>
      <c r="L2" s="157"/>
      <c r="M2" s="157"/>
      <c r="N2" s="157"/>
      <c r="O2" s="157"/>
    </row>
    <row r="3" spans="1:15" x14ac:dyDescent="0.3">
      <c r="A3" t="str">
        <f>CRM_Data[Deal_Stage]</f>
        <v>Won</v>
      </c>
      <c r="B3">
        <f>COUNTIFS(CRM_Data!I:I,A3)</f>
        <v>13</v>
      </c>
      <c r="C3">
        <f>SUMIFS(CRM_Data!K:K,CRM_Data!I:I,A3)</f>
        <v>2244000</v>
      </c>
      <c r="D3" s="8">
        <f>B3/B8</f>
        <v>0.43333333333333335</v>
      </c>
      <c r="E3" s="37">
        <f>AVERAGEIFS(CRM_Data!K:K,CRM_Data!I:I,A3)</f>
        <v>172615.38461538462</v>
      </c>
      <c r="F3" s="39">
        <f>(6-13)/6</f>
        <v>-1.1666666666666667</v>
      </c>
      <c r="G3" t="s">
        <v>150</v>
      </c>
      <c r="H3" s="157"/>
      <c r="I3" s="157"/>
      <c r="J3" s="157"/>
      <c r="K3" s="157"/>
      <c r="L3" s="157"/>
      <c r="M3" s="157"/>
      <c r="N3" s="157"/>
      <c r="O3" s="157"/>
    </row>
    <row r="4" spans="1:15" x14ac:dyDescent="0.3">
      <c r="A4" t="str">
        <f>CRM_Data[Deal_Stage]</f>
        <v>Negotiation</v>
      </c>
      <c r="B4">
        <f>COUNTIFS(CRM_Data!I:I,A4)</f>
        <v>6</v>
      </c>
      <c r="C4">
        <f>SUMIFS(CRM_Data!K:K,CRM_Data!I:I,A4)</f>
        <v>737000</v>
      </c>
      <c r="D4" s="8">
        <f>B4/$B$8</f>
        <v>0.2</v>
      </c>
      <c r="E4" s="37">
        <f>AVERAGEIFS(CRM_Data!K:K,CRM_Data!I:I,A4)</f>
        <v>122833.33333333333</v>
      </c>
      <c r="F4" s="39">
        <f>(4-6)/4</f>
        <v>-0.5</v>
      </c>
      <c r="G4" t="s">
        <v>149</v>
      </c>
      <c r="H4" s="157"/>
      <c r="I4" s="157"/>
      <c r="J4" s="157"/>
      <c r="K4" s="157"/>
      <c r="L4" s="157"/>
      <c r="M4" s="157"/>
      <c r="N4" s="157"/>
      <c r="O4" s="157"/>
    </row>
    <row r="5" spans="1:15" x14ac:dyDescent="0.3">
      <c r="A5" t="str">
        <f>CRM_Data[Deal_Stage]</f>
        <v>Proposal</v>
      </c>
      <c r="B5">
        <f>COUNTIFS(CRM_Data!I:I,A5)</f>
        <v>4</v>
      </c>
      <c r="C5">
        <f>SUMIFS(CRM_Data!K:K,CRM_Data!I:I,A5)</f>
        <v>454000</v>
      </c>
      <c r="D5" s="8">
        <f>B5/$B$8</f>
        <v>0.13333333333333333</v>
      </c>
      <c r="E5" s="37">
        <f>AVERAGEIFS(CRM_Data!K:K,CRM_Data!I:I,A5)</f>
        <v>113500</v>
      </c>
      <c r="F5" s="39">
        <f>(4-4)/4</f>
        <v>0</v>
      </c>
      <c r="G5" t="s">
        <v>148</v>
      </c>
      <c r="H5" s="157"/>
      <c r="I5" s="157"/>
      <c r="J5" s="157"/>
      <c r="K5" s="157"/>
      <c r="L5" s="157"/>
      <c r="M5" s="157"/>
      <c r="N5" s="157"/>
      <c r="O5" s="157"/>
    </row>
    <row r="6" spans="1:15" x14ac:dyDescent="0.3">
      <c r="A6" t="str">
        <f>CRM_Data[Deal_Stage]</f>
        <v>Lost</v>
      </c>
      <c r="B6">
        <f>COUNTIFS(CRM_Data!I:I,A6)</f>
        <v>3</v>
      </c>
      <c r="C6">
        <f>SUMIFS(CRM_Data!K:K,CRM_Data!I:I,A6)</f>
        <v>213000</v>
      </c>
      <c r="D6" s="8">
        <f>B6/$B$8</f>
        <v>0.1</v>
      </c>
      <c r="E6" s="37">
        <f>AVERAGEIFS(CRM_Data!K:K,CRM_Data!I:I,A6)</f>
        <v>71000</v>
      </c>
      <c r="F6" s="39">
        <f>(13-3)/13</f>
        <v>0.76923076923076927</v>
      </c>
      <c r="G6" t="s">
        <v>151</v>
      </c>
      <c r="H6" s="157"/>
      <c r="I6" s="157"/>
      <c r="J6" s="157"/>
      <c r="K6" s="157"/>
      <c r="L6" s="157"/>
      <c r="M6" s="157"/>
      <c r="N6" s="157"/>
      <c r="O6" s="157"/>
    </row>
    <row r="7" spans="1:15" x14ac:dyDescent="0.3">
      <c r="A7" t="s">
        <v>62</v>
      </c>
      <c r="B7">
        <f>COUNTIFS(CRM_Data!I:I,A7)</f>
        <v>4</v>
      </c>
      <c r="C7">
        <f>SUMIFS(CRM_Data!K:K,CRM_Data!I:I,A7)</f>
        <v>292000</v>
      </c>
      <c r="D7" s="8">
        <f>B7/$B$8</f>
        <v>0.13333333333333333</v>
      </c>
      <c r="E7" s="37">
        <f>AVERAGEIFS(CRM_Data!K:K,CRM_Data!I:I,A7)</f>
        <v>73000</v>
      </c>
      <c r="F7" s="38" t="s">
        <v>146</v>
      </c>
      <c r="G7" t="s">
        <v>147</v>
      </c>
      <c r="H7" s="157"/>
      <c r="I7" s="157"/>
      <c r="J7" s="157"/>
      <c r="K7" s="157"/>
      <c r="L7" s="157"/>
      <c r="M7" s="157"/>
      <c r="N7" s="157"/>
      <c r="O7" s="157"/>
    </row>
    <row r="8" spans="1:15" ht="15.6" x14ac:dyDescent="0.3">
      <c r="A8" s="88" t="s">
        <v>121</v>
      </c>
      <c r="B8" s="88">
        <f>SUM(B3:B7)</f>
        <v>30</v>
      </c>
      <c r="C8" s="89">
        <f>SUM(C3:C7)</f>
        <v>3940000</v>
      </c>
      <c r="D8" s="89"/>
      <c r="E8" s="43"/>
      <c r="F8" s="43"/>
      <c r="G8" s="9"/>
      <c r="H8" s="157"/>
      <c r="I8" s="157"/>
      <c r="J8" s="157"/>
      <c r="K8" s="157"/>
      <c r="L8" s="157"/>
      <c r="M8" s="157"/>
      <c r="N8" s="157"/>
      <c r="O8" s="157"/>
    </row>
    <row r="9" spans="1:15" x14ac:dyDescent="0.3">
      <c r="A9" s="144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</row>
    <row r="10" spans="1:15" x14ac:dyDescent="0.3">
      <c r="A10" s="142"/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</row>
    <row r="11" spans="1:15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</row>
    <row r="12" spans="1:15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</row>
    <row r="13" spans="1:15" x14ac:dyDescent="0.3">
      <c r="A13" s="142"/>
      <c r="B13" s="142"/>
      <c r="C13" s="142"/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</row>
    <row r="14" spans="1:15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</row>
    <row r="15" spans="1:15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</row>
    <row r="16" spans="1:15" x14ac:dyDescent="0.3">
      <c r="A16" s="142"/>
      <c r="B16" s="142"/>
      <c r="C16" s="142"/>
      <c r="D16" s="142"/>
      <c r="E16" s="142"/>
      <c r="F16" s="142"/>
      <c r="G16" s="142"/>
      <c r="H16" s="142"/>
      <c r="I16" s="142"/>
      <c r="J16" s="142"/>
      <c r="K16" s="142"/>
      <c r="L16" s="142"/>
      <c r="M16" s="142"/>
      <c r="N16" s="142"/>
      <c r="O16" s="142"/>
    </row>
    <row r="17" spans="1:15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  <c r="K17" s="142"/>
      <c r="L17" s="142"/>
      <c r="M17" s="142"/>
      <c r="N17" s="142"/>
      <c r="O17" s="142"/>
    </row>
    <row r="18" spans="1:15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</row>
    <row r="19" spans="1:15" x14ac:dyDescent="0.3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</row>
    <row r="20" spans="1:15" x14ac:dyDescent="0.3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</row>
    <row r="21" spans="1:15" x14ac:dyDescent="0.3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</row>
    <row r="22" spans="1:15" x14ac:dyDescent="0.3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</row>
    <row r="23" spans="1:15" x14ac:dyDescent="0.3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</row>
    <row r="24" spans="1:15" x14ac:dyDescent="0.3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</row>
    <row r="25" spans="1:15" x14ac:dyDescent="0.3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</row>
    <row r="26" spans="1:15" x14ac:dyDescent="0.3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</row>
    <row r="27" spans="1:15" x14ac:dyDescent="0.3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</row>
    <row r="28" spans="1:15" x14ac:dyDescent="0.3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</row>
    <row r="29" spans="1:15" x14ac:dyDescent="0.3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</row>
    <row r="30" spans="1:15" x14ac:dyDescent="0.3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</row>
    <row r="31" spans="1:15" x14ac:dyDescent="0.3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</row>
    <row r="32" spans="1:15" x14ac:dyDescent="0.3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</row>
    <row r="33" spans="1:15" x14ac:dyDescent="0.3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</row>
    <row r="34" spans="1:15" x14ac:dyDescent="0.3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</row>
    <row r="35" spans="1:15" x14ac:dyDescent="0.3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</row>
    <row r="36" spans="1:15" x14ac:dyDescent="0.3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</row>
    <row r="37" spans="1:15" x14ac:dyDescent="0.3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</row>
    <row r="38" spans="1:15" x14ac:dyDescent="0.3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</row>
    <row r="39" spans="1:15" x14ac:dyDescent="0.3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</row>
    <row r="40" spans="1:15" x14ac:dyDescent="0.3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</row>
    <row r="41" spans="1:15" x14ac:dyDescent="0.3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</row>
    <row r="42" spans="1:15" x14ac:dyDescent="0.3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</row>
    <row r="43" spans="1:15" x14ac:dyDescent="0.3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</row>
    <row r="44" spans="1:15" x14ac:dyDescent="0.3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</row>
    <row r="45" spans="1:15" x14ac:dyDescent="0.3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</row>
    <row r="46" spans="1:15" x14ac:dyDescent="0.3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</row>
    <row r="47" spans="1:15" x14ac:dyDescent="0.3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</row>
    <row r="48" spans="1:15" x14ac:dyDescent="0.3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</row>
    <row r="49" spans="1:15" x14ac:dyDescent="0.3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</row>
    <row r="50" spans="1:15" x14ac:dyDescent="0.3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</row>
    <row r="51" spans="1:15" x14ac:dyDescent="0.3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</row>
    <row r="52" spans="1:15" x14ac:dyDescent="0.3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</row>
  </sheetData>
  <mergeCells count="3">
    <mergeCell ref="A1:G1"/>
    <mergeCell ref="A9:O52"/>
    <mergeCell ref="H1:O8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O64"/>
  <sheetViews>
    <sheetView workbookViewId="0">
      <selection activeCell="G7" sqref="G7:J17"/>
    </sheetView>
  </sheetViews>
  <sheetFormatPr defaultRowHeight="14.4" x14ac:dyDescent="0.3"/>
  <cols>
    <col min="1" max="1" width="12.88671875" customWidth="1"/>
    <col min="2" max="2" width="15.33203125" customWidth="1"/>
    <col min="3" max="3" width="17.6640625" customWidth="1"/>
    <col min="4" max="4" width="16.33203125" customWidth="1"/>
    <col min="5" max="5" width="12.33203125" customWidth="1"/>
    <col min="7" max="7" width="8.44140625" customWidth="1"/>
    <col min="8" max="8" width="5.44140625" customWidth="1"/>
    <col min="9" max="9" width="12" bestFit="1" customWidth="1"/>
    <col min="10" max="10" width="8.5546875" customWidth="1"/>
  </cols>
  <sheetData>
    <row r="1" spans="1:15" ht="27" customHeight="1" x14ac:dyDescent="0.3">
      <c r="A1" s="189" t="s">
        <v>123</v>
      </c>
      <c r="B1" s="189"/>
      <c r="C1" s="189"/>
      <c r="D1" s="189"/>
      <c r="E1" s="189"/>
      <c r="F1" s="189"/>
      <c r="G1" s="189"/>
      <c r="H1" s="189"/>
      <c r="I1" s="189"/>
      <c r="J1" s="189"/>
      <c r="K1" s="141"/>
      <c r="L1" s="142"/>
      <c r="M1" s="142"/>
      <c r="N1" s="142"/>
      <c r="O1" s="142"/>
    </row>
    <row r="2" spans="1:15" ht="16.2" customHeight="1" x14ac:dyDescent="0.3">
      <c r="A2" s="190" t="s">
        <v>154</v>
      </c>
      <c r="B2" s="190"/>
      <c r="C2" s="190"/>
      <c r="D2" s="190"/>
      <c r="E2" s="190"/>
      <c r="F2" s="157"/>
      <c r="G2" s="191" t="s">
        <v>129</v>
      </c>
      <c r="H2" s="191"/>
      <c r="I2" s="191"/>
      <c r="J2" s="191"/>
      <c r="K2" s="141"/>
      <c r="L2" s="142"/>
      <c r="M2" s="142"/>
      <c r="N2" s="142"/>
      <c r="O2" s="142"/>
    </row>
    <row r="3" spans="1:15" ht="16.2" customHeight="1" x14ac:dyDescent="0.3">
      <c r="A3" s="7" t="s">
        <v>124</v>
      </c>
      <c r="B3" s="67" t="s">
        <v>125</v>
      </c>
      <c r="C3" s="68" t="s">
        <v>126</v>
      </c>
      <c r="D3" s="7" t="s">
        <v>127</v>
      </c>
      <c r="E3" s="67" t="s">
        <v>128</v>
      </c>
      <c r="F3" s="157"/>
      <c r="G3" s="61" t="s">
        <v>152</v>
      </c>
      <c r="H3" s="59" t="s">
        <v>142</v>
      </c>
      <c r="I3" s="59" t="s">
        <v>153</v>
      </c>
      <c r="J3" s="61" t="s">
        <v>136</v>
      </c>
      <c r="K3" s="141"/>
      <c r="L3" s="142"/>
      <c r="M3" s="142"/>
      <c r="N3" s="142"/>
      <c r="O3" s="142"/>
    </row>
    <row r="4" spans="1:15" x14ac:dyDescent="0.3">
      <c r="A4" s="47" t="s">
        <v>19</v>
      </c>
      <c r="B4" s="47">
        <f>COUNTIF(CRM_Data!C:C,A4)</f>
        <v>3</v>
      </c>
      <c r="C4" s="47">
        <f>SUMIFS(CRM_Data!K:K,CRM_Data!C:C,A4,CRM_Data!J:J,"Won")</f>
        <v>303000</v>
      </c>
      <c r="D4" s="47">
        <f>SUMIFS(CRM_Data!K:K,CRM_Data!C:C,A4,CRM_Data!J:J,"Open")</f>
        <v>69000</v>
      </c>
      <c r="E4" s="48">
        <f>AVERAGEIFS(CRM_Data!K:K,CRM_Data!C:C,A4)</f>
        <v>124000</v>
      </c>
      <c r="F4" s="157"/>
      <c r="G4" s="62" t="str">
        <f>CRM_Data[Customer_Size]</f>
        <v>Medium</v>
      </c>
      <c r="H4" s="65">
        <f>COUNTIF(CRM_Data!O:O,G4)</f>
        <v>10</v>
      </c>
      <c r="I4" s="63">
        <f>SUMIFS(CRM_Data!K:K,CRM_Data!O:O,G4)</f>
        <v>1097000</v>
      </c>
      <c r="J4" s="93">
        <f>IFERROR(COUNTIFS(CRM_Data!O:O,G4,CRM_Data!$J:$J,"Won")/COUNTIF(CRM_Data!O:O,G4),0)</f>
        <v>0.6</v>
      </c>
      <c r="K4" s="141"/>
      <c r="L4" s="142"/>
      <c r="M4" s="142"/>
      <c r="N4" s="142"/>
      <c r="O4" s="142"/>
    </row>
    <row r="5" spans="1:15" x14ac:dyDescent="0.3">
      <c r="A5" s="49" t="s">
        <v>29</v>
      </c>
      <c r="B5" s="45">
        <f>COUNTIF(CRM_Data!C:C,A5)</f>
        <v>3</v>
      </c>
      <c r="C5" s="45">
        <f>SUMIFS(CRM_Data!K:K,CRM_Data!C:C,A5,CRM_Data!J:J,"Won")</f>
        <v>155000</v>
      </c>
      <c r="D5" s="45">
        <f>SUMIFS(CRM_Data!K:K,CRM_Data!C:C,A5,CRM_Data!J:J,"Open")</f>
        <v>243000</v>
      </c>
      <c r="E5" s="46">
        <f>AVERAGEIFS(CRM_Data!K:K,CRM_Data!C:C,A5)</f>
        <v>132666.66666666666</v>
      </c>
      <c r="F5" s="157"/>
      <c r="G5" s="60" t="str">
        <f>CRM_Data[Customer_Size]</f>
        <v>Enterprise</v>
      </c>
      <c r="H5" s="66">
        <f>COUNTIF(CRM_Data!O:O,G5)</f>
        <v>13</v>
      </c>
      <c r="I5" s="64">
        <f>SUMIFS(CRM_Data!K:K,CRM_Data!O:O,G5)</f>
        <v>2319000</v>
      </c>
      <c r="J5" s="94">
        <f>IFERROR(COUNTIFS(CRM_Data!O:O,G5,CRM_Data!$J:$J,"Won")/COUNTIF(CRM_Data!O:O,G5),0)</f>
        <v>0.53846153846153844</v>
      </c>
      <c r="K5" s="141"/>
      <c r="L5" s="142"/>
      <c r="M5" s="142"/>
      <c r="N5" s="142"/>
      <c r="O5" s="142"/>
    </row>
    <row r="6" spans="1:15" x14ac:dyDescent="0.3">
      <c r="A6" s="44" t="s">
        <v>39</v>
      </c>
      <c r="B6" s="44">
        <f>COUNTIF(CRM_Data!C:C,A6)</f>
        <v>3</v>
      </c>
      <c r="C6" s="44">
        <f>SUMIFS(CRM_Data!K:K,CRM_Data!C:C,A6,CRM_Data!J:J,"Won")</f>
        <v>265000</v>
      </c>
      <c r="D6" s="44">
        <f>SUMIFS(CRM_Data!K:K,CRM_Data!C:C,A6,CRM_Data!J:J,"Open")</f>
        <v>241000</v>
      </c>
      <c r="E6" s="50">
        <f>AVERAGEIFS(CRM_Data!K:K,CRM_Data!C:C,A6)</f>
        <v>168666.66666666666</v>
      </c>
      <c r="F6" s="157"/>
      <c r="G6" s="90" t="str">
        <f>CRM_Data[Customer_Size]</f>
        <v>Small</v>
      </c>
      <c r="H6" s="91">
        <f>COUNTIF(CRM_Data!O:O,G6)</f>
        <v>7</v>
      </c>
      <c r="I6" s="92">
        <f>SUMIFS(CRM_Data!K:K,CRM_Data!O:O,G6)</f>
        <v>524000</v>
      </c>
      <c r="J6" s="95">
        <f>IFERROR(COUNTIFS(CRM_Data!O:O,G6,CRM_Data!$J:$J,"Won")/COUNTIF(CRM_Data!O:O,G6),0)</f>
        <v>0</v>
      </c>
      <c r="K6" s="141"/>
      <c r="L6" s="142"/>
      <c r="M6" s="142"/>
      <c r="N6" s="142"/>
      <c r="O6" s="142"/>
    </row>
    <row r="7" spans="1:15" x14ac:dyDescent="0.3">
      <c r="A7" s="49" t="s">
        <v>47</v>
      </c>
      <c r="B7" s="45">
        <f>COUNTIF(CRM_Data!C:C,A7)</f>
        <v>3</v>
      </c>
      <c r="C7" s="45">
        <f>SUMIFS(CRM_Data!K:K,CRM_Data!C:C,A7,CRM_Data!J:J,"Won")</f>
        <v>0</v>
      </c>
      <c r="D7" s="45">
        <f>SUMIFS(CRM_Data!K:K,CRM_Data!C:C,A7,CRM_Data!J:J,"Open")</f>
        <v>257000</v>
      </c>
      <c r="E7" s="46">
        <f>AVERAGEIFS(CRM_Data!K:K,CRM_Data!C:C,A7)</f>
        <v>111666.66666666667</v>
      </c>
      <c r="F7" s="157"/>
      <c r="G7" s="141"/>
      <c r="H7" s="142"/>
      <c r="I7" s="142"/>
      <c r="J7" s="142"/>
      <c r="K7" s="141"/>
      <c r="L7" s="142"/>
      <c r="M7" s="142"/>
      <c r="N7" s="142"/>
      <c r="O7" s="142"/>
    </row>
    <row r="8" spans="1:15" x14ac:dyDescent="0.3">
      <c r="A8" s="51" t="s">
        <v>55</v>
      </c>
      <c r="B8" s="51">
        <f>COUNTIF(CRM_Data!C:C,A8)</f>
        <v>3</v>
      </c>
      <c r="C8" s="51">
        <f>SUMIFS(CRM_Data!K:K,CRM_Data!C:C,A8,CRM_Data!J:J,"Won")</f>
        <v>215000</v>
      </c>
      <c r="D8" s="51">
        <f>SUMIFS(CRM_Data!K:K,CRM_Data!C:C,A8,CRM_Data!J:J,"Open")</f>
        <v>0</v>
      </c>
      <c r="E8" s="52">
        <f>AVERAGEIFS(CRM_Data!K:K,CRM_Data!C:C,A8)</f>
        <v>116666.66666666667</v>
      </c>
      <c r="F8" s="157"/>
      <c r="G8" s="141"/>
      <c r="H8" s="142"/>
      <c r="I8" s="142"/>
      <c r="J8" s="142"/>
      <c r="K8" s="141"/>
      <c r="L8" s="142"/>
      <c r="M8" s="142"/>
      <c r="N8" s="142"/>
      <c r="O8" s="142"/>
    </row>
    <row r="9" spans="1:15" x14ac:dyDescent="0.3">
      <c r="A9" s="45" t="s">
        <v>65</v>
      </c>
      <c r="B9" s="45">
        <f>COUNTIF(CRM_Data!C:C,A9)</f>
        <v>1</v>
      </c>
      <c r="C9" s="45">
        <f>SUMIFS(CRM_Data!K:K,CRM_Data!C:C,A9,CRM_Data!J:J,"Won")</f>
        <v>0</v>
      </c>
      <c r="D9" s="45">
        <f>SUMIFS(CRM_Data!K:K,CRM_Data!C:C,A9,CRM_Data!J:J,"Open")</f>
        <v>134000</v>
      </c>
      <c r="E9" s="46">
        <f>AVERAGEIFS(CRM_Data!K:K,CRM_Data!C:C,A9)</f>
        <v>134000</v>
      </c>
      <c r="F9" s="157"/>
      <c r="G9" s="141"/>
      <c r="H9" s="142"/>
      <c r="I9" s="142"/>
      <c r="J9" s="142"/>
      <c r="K9" s="141"/>
      <c r="L9" s="142"/>
      <c r="M9" s="142"/>
      <c r="N9" s="142"/>
      <c r="O9" s="142"/>
    </row>
    <row r="10" spans="1:15" x14ac:dyDescent="0.3">
      <c r="A10" s="53" t="s">
        <v>69</v>
      </c>
      <c r="B10" s="53">
        <f>COUNTIF(CRM_Data!C:C,A10)</f>
        <v>2</v>
      </c>
      <c r="C10" s="53">
        <f>SUMIFS(CRM_Data!K:K,CRM_Data!C:C,A10,CRM_Data!J:J,"Won")</f>
        <v>226000</v>
      </c>
      <c r="D10" s="53">
        <f>SUMIFS(CRM_Data!K:K,CRM_Data!C:C,A10,CRM_Data!J:J,"Open")</f>
        <v>0</v>
      </c>
      <c r="E10" s="54">
        <f>AVERAGEIFS(CRM_Data!K:K,CRM_Data!C:C,A10)</f>
        <v>113000</v>
      </c>
      <c r="F10" s="157"/>
      <c r="G10" s="141"/>
      <c r="H10" s="142"/>
      <c r="I10" s="142"/>
      <c r="J10" s="142"/>
      <c r="K10" s="141"/>
      <c r="L10" s="142"/>
      <c r="M10" s="142"/>
      <c r="N10" s="142"/>
      <c r="O10" s="142"/>
    </row>
    <row r="11" spans="1:15" x14ac:dyDescent="0.3">
      <c r="A11" s="45" t="s">
        <v>72</v>
      </c>
      <c r="B11" s="45">
        <f>COUNTIF(CRM_Data!C:C,A11)</f>
        <v>2</v>
      </c>
      <c r="C11" s="45">
        <f>SUMIFS(CRM_Data!K:K,CRM_Data!C:C,A11,CRM_Data!J:J,"Won")</f>
        <v>0</v>
      </c>
      <c r="D11" s="45">
        <f>SUMIFS(CRM_Data!K:K,CRM_Data!C:C,A11,CRM_Data!J:J,"Open")</f>
        <v>156000</v>
      </c>
      <c r="E11" s="46">
        <f>AVERAGEIFS(CRM_Data!K:K,CRM_Data!C:C,A11)</f>
        <v>78000</v>
      </c>
      <c r="F11" s="157"/>
      <c r="G11" s="141"/>
      <c r="H11" s="142"/>
      <c r="I11" s="142"/>
      <c r="J11" s="142"/>
      <c r="K11" s="141"/>
      <c r="L11" s="142"/>
      <c r="M11" s="142"/>
      <c r="N11" s="142"/>
      <c r="O11" s="142"/>
    </row>
    <row r="12" spans="1:15" x14ac:dyDescent="0.3">
      <c r="A12" s="55" t="s">
        <v>75</v>
      </c>
      <c r="B12" s="55">
        <f>COUNTIF(CRM_Data!C:C,A12)</f>
        <v>1</v>
      </c>
      <c r="C12" s="55">
        <f>SUMIFS(CRM_Data!K:K,CRM_Data!C:C,A12,CRM_Data!J:J,"Won")</f>
        <v>248000</v>
      </c>
      <c r="D12" s="55">
        <f>SUMIFS(CRM_Data!K:K,CRM_Data!C:C,A12,CRM_Data!J:J,"Open")</f>
        <v>0</v>
      </c>
      <c r="E12" s="56">
        <f>AVERAGEIFS(CRM_Data!K:K,CRM_Data!C:C,A12)</f>
        <v>248000</v>
      </c>
      <c r="F12" s="157"/>
      <c r="G12" s="141"/>
      <c r="H12" s="142"/>
      <c r="I12" s="142"/>
      <c r="J12" s="142"/>
      <c r="K12" s="141"/>
      <c r="L12" s="142"/>
      <c r="M12" s="142"/>
      <c r="N12" s="142"/>
      <c r="O12" s="142"/>
    </row>
    <row r="13" spans="1:15" x14ac:dyDescent="0.3">
      <c r="A13" s="45" t="s">
        <v>78</v>
      </c>
      <c r="B13" s="45">
        <f>COUNTIF(CRM_Data!C:C,A13)</f>
        <v>2</v>
      </c>
      <c r="C13" s="45">
        <f>SUMIFS(CRM_Data!K:K,CRM_Data!C:C,A13,CRM_Data!J:J,"Won")</f>
        <v>97000</v>
      </c>
      <c r="D13" s="45">
        <f>SUMIFS(CRM_Data!K:K,CRM_Data!C:C,A13,CRM_Data!J:J,"Open")</f>
        <v>72000</v>
      </c>
      <c r="E13" s="46">
        <f>AVERAGEIFS(CRM_Data!K:K,CRM_Data!C:C,A13)</f>
        <v>84500</v>
      </c>
      <c r="F13" s="157"/>
      <c r="G13" s="141"/>
      <c r="H13" s="142"/>
      <c r="I13" s="142"/>
      <c r="J13" s="142"/>
      <c r="K13" s="141"/>
      <c r="L13" s="142"/>
      <c r="M13" s="142"/>
      <c r="N13" s="142"/>
      <c r="O13" s="142"/>
    </row>
    <row r="14" spans="1:15" x14ac:dyDescent="0.3">
      <c r="A14" s="57" t="s">
        <v>81</v>
      </c>
      <c r="B14" s="57">
        <f>COUNTIF(CRM_Data!C:C,A14)</f>
        <v>2</v>
      </c>
      <c r="C14" s="57">
        <f>SUMIFS(CRM_Data!K:K,CRM_Data!C:C,A14,CRM_Data!J:J,"Won")</f>
        <v>172000</v>
      </c>
      <c r="D14" s="57">
        <f>SUMIFS(CRM_Data!K:K,CRM_Data!C:C,A14,CRM_Data!J:J,"Open")</f>
        <v>126000</v>
      </c>
      <c r="E14" s="58">
        <f>AVERAGEIFS(CRM_Data!K:K,CRM_Data!C:C,A14)</f>
        <v>149000</v>
      </c>
      <c r="F14" s="157"/>
      <c r="G14" s="141"/>
      <c r="H14" s="142"/>
      <c r="I14" s="142"/>
      <c r="J14" s="142"/>
      <c r="K14" s="141"/>
      <c r="L14" s="142"/>
      <c r="M14" s="142"/>
      <c r="N14" s="142"/>
      <c r="O14" s="142"/>
    </row>
    <row r="15" spans="1:15" x14ac:dyDescent="0.3">
      <c r="A15" s="49" t="s">
        <v>86</v>
      </c>
      <c r="B15" s="45">
        <f>COUNTIF(CRM_Data!C:C,A15)</f>
        <v>2</v>
      </c>
      <c r="C15" s="45">
        <f>SUMIFS(CRM_Data!K:K,CRM_Data!C:C,A15,CRM_Data!J:J,"Won")</f>
        <v>189000</v>
      </c>
      <c r="D15" s="45">
        <f>SUMIFS(CRM_Data!K:K,CRM_Data!C:C,A15,CRM_Data!J:J,"Open")</f>
        <v>83000</v>
      </c>
      <c r="E15" s="46">
        <f>AVERAGEIFS(CRM_Data!K:K,CRM_Data!C:C,A15)</f>
        <v>136000</v>
      </c>
      <c r="F15" s="157"/>
      <c r="G15" s="141"/>
      <c r="H15" s="142"/>
      <c r="I15" s="142"/>
      <c r="J15" s="142"/>
      <c r="K15" s="141"/>
      <c r="L15" s="142"/>
      <c r="M15" s="142"/>
      <c r="N15" s="142"/>
      <c r="O15" s="142"/>
    </row>
    <row r="16" spans="1:15" x14ac:dyDescent="0.3">
      <c r="A16" s="44" t="s">
        <v>93</v>
      </c>
      <c r="B16" s="44">
        <f>COUNTIF(CRM_Data!C:C,A16)</f>
        <v>2</v>
      </c>
      <c r="C16" s="44">
        <f>SUMIFS(CRM_Data!K:K,CRM_Data!C:C,A16,CRM_Data!J:J,"Won")</f>
        <v>142000</v>
      </c>
      <c r="D16" s="44">
        <f>SUMIFS(CRM_Data!K:K,CRM_Data!C:C,A16,CRM_Data!J:J,"Open")</f>
        <v>102000</v>
      </c>
      <c r="E16" s="50">
        <f>AVERAGEIFS(CRM_Data!K:K,CRM_Data!C:C,A16)</f>
        <v>122000</v>
      </c>
      <c r="F16" s="157"/>
      <c r="G16" s="141"/>
      <c r="H16" s="142"/>
      <c r="I16" s="142"/>
      <c r="J16" s="142"/>
      <c r="K16" s="141"/>
      <c r="L16" s="142"/>
      <c r="M16" s="142"/>
      <c r="N16" s="142"/>
      <c r="O16" s="142"/>
    </row>
    <row r="17" spans="1:15" x14ac:dyDescent="0.3">
      <c r="A17" s="49" t="s">
        <v>116</v>
      </c>
      <c r="B17" s="45">
        <f>COUNTIF(CRM_Data!C:C,A17)</f>
        <v>1</v>
      </c>
      <c r="C17" s="45">
        <f>SUMIFS(CRM_Data!K:K,CRM_Data!C:C,A17,CRM_Data!J:J,"Won")</f>
        <v>232000</v>
      </c>
      <c r="D17" s="45">
        <f>SUMIFS(CRM_Data!K:K,CRM_Data!C:C,A17,CRM_Data!J:J,"Open")</f>
        <v>0</v>
      </c>
      <c r="E17" s="46">
        <f>AVERAGEIFS(CRM_Data!K:K,CRM_Data!C:C,A17)</f>
        <v>232000</v>
      </c>
      <c r="F17" s="157"/>
      <c r="G17" s="141"/>
      <c r="H17" s="142"/>
      <c r="I17" s="142"/>
      <c r="J17" s="142"/>
      <c r="K17" s="141"/>
      <c r="L17" s="142"/>
      <c r="M17" s="142"/>
      <c r="N17" s="142"/>
      <c r="O17" s="142"/>
    </row>
    <row r="18" spans="1:15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</row>
    <row r="19" spans="1:15" x14ac:dyDescent="0.3">
      <c r="A19" s="142"/>
      <c r="B19" s="142"/>
      <c r="C19" s="142"/>
      <c r="D19" s="142"/>
      <c r="E19" s="142"/>
      <c r="F19" s="142"/>
      <c r="G19" s="142"/>
      <c r="H19" s="142"/>
      <c r="I19" s="142"/>
      <c r="J19" s="142"/>
      <c r="K19" s="142"/>
      <c r="L19" s="142"/>
      <c r="M19" s="142"/>
      <c r="N19" s="142"/>
      <c r="O19" s="142"/>
    </row>
    <row r="20" spans="1:15" x14ac:dyDescent="0.3">
      <c r="A20" s="142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</row>
    <row r="21" spans="1:15" x14ac:dyDescent="0.3">
      <c r="A21" s="142"/>
      <c r="B21" s="142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</row>
    <row r="22" spans="1:15" x14ac:dyDescent="0.3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</row>
    <row r="23" spans="1:15" x14ac:dyDescent="0.3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</row>
    <row r="24" spans="1:15" x14ac:dyDescent="0.3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</row>
    <row r="25" spans="1:15" x14ac:dyDescent="0.3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  <c r="O25" s="142"/>
    </row>
    <row r="26" spans="1:15" x14ac:dyDescent="0.3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</row>
    <row r="27" spans="1:15" x14ac:dyDescent="0.3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  <c r="O27" s="142"/>
    </row>
    <row r="28" spans="1:15" x14ac:dyDescent="0.3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2"/>
    </row>
    <row r="29" spans="1:15" x14ac:dyDescent="0.3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</row>
    <row r="30" spans="1:15" x14ac:dyDescent="0.3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</row>
    <row r="31" spans="1:15" x14ac:dyDescent="0.3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2"/>
    </row>
    <row r="32" spans="1:15" x14ac:dyDescent="0.3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</row>
    <row r="33" spans="1:15" x14ac:dyDescent="0.3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</row>
    <row r="34" spans="1:15" x14ac:dyDescent="0.3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</row>
    <row r="35" spans="1:15" x14ac:dyDescent="0.3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2"/>
    </row>
    <row r="36" spans="1:15" x14ac:dyDescent="0.3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</row>
    <row r="37" spans="1:15" x14ac:dyDescent="0.3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</row>
    <row r="38" spans="1:15" x14ac:dyDescent="0.3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</row>
    <row r="39" spans="1:15" x14ac:dyDescent="0.3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</row>
    <row r="40" spans="1:15" x14ac:dyDescent="0.3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</row>
    <row r="41" spans="1:15" x14ac:dyDescent="0.3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2"/>
    </row>
    <row r="42" spans="1:15" x14ac:dyDescent="0.3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</row>
    <row r="43" spans="1:15" x14ac:dyDescent="0.3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2"/>
    </row>
    <row r="44" spans="1:15" x14ac:dyDescent="0.3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</row>
    <row r="45" spans="1:15" x14ac:dyDescent="0.3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2"/>
    </row>
    <row r="46" spans="1:15" x14ac:dyDescent="0.3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</row>
    <row r="47" spans="1:15" x14ac:dyDescent="0.3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2"/>
    </row>
    <row r="48" spans="1:15" x14ac:dyDescent="0.3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</row>
    <row r="49" spans="1:15" x14ac:dyDescent="0.3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2"/>
    </row>
    <row r="50" spans="1:15" x14ac:dyDescent="0.3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</row>
    <row r="51" spans="1:15" x14ac:dyDescent="0.3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</row>
    <row r="52" spans="1:15" x14ac:dyDescent="0.3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</row>
    <row r="53" spans="1:15" x14ac:dyDescent="0.3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</row>
    <row r="54" spans="1:15" x14ac:dyDescent="0.3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</row>
    <row r="55" spans="1:15" x14ac:dyDescent="0.3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  <c r="O55" s="142"/>
    </row>
    <row r="56" spans="1:15" x14ac:dyDescent="0.3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</row>
    <row r="57" spans="1:15" x14ac:dyDescent="0.3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  <c r="O57" s="142"/>
    </row>
    <row r="58" spans="1:15" x14ac:dyDescent="0.3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</row>
    <row r="59" spans="1:15" x14ac:dyDescent="0.3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  <c r="O59" s="142"/>
    </row>
    <row r="60" spans="1:15" x14ac:dyDescent="0.3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</row>
    <row r="61" spans="1:15" x14ac:dyDescent="0.3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  <c r="O61" s="142"/>
    </row>
    <row r="62" spans="1:15" x14ac:dyDescent="0.3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  <c r="O62" s="142"/>
    </row>
    <row r="63" spans="1:15" x14ac:dyDescent="0.3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</row>
    <row r="64" spans="1:15" x14ac:dyDescent="0.3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  <c r="O64" s="142"/>
    </row>
  </sheetData>
  <sortState ref="G4:G5">
    <sortCondition ref="G4"/>
  </sortState>
  <mergeCells count="7">
    <mergeCell ref="K1:O17"/>
    <mergeCell ref="A18:O64"/>
    <mergeCell ref="A1:J1"/>
    <mergeCell ref="A2:E2"/>
    <mergeCell ref="G2:J2"/>
    <mergeCell ref="F2:F17"/>
    <mergeCell ref="G7:J17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N45"/>
  <sheetViews>
    <sheetView workbookViewId="0">
      <selection activeCell="G1" sqref="G1:N10"/>
    </sheetView>
  </sheetViews>
  <sheetFormatPr defaultRowHeight="14.4" x14ac:dyDescent="0.3"/>
  <cols>
    <col min="1" max="1" width="16.5546875" bestFit="1" customWidth="1"/>
    <col min="2" max="2" width="14.33203125" bestFit="1" customWidth="1"/>
    <col min="3" max="3" width="13.33203125" bestFit="1" customWidth="1"/>
    <col min="4" max="4" width="15.88671875" bestFit="1" customWidth="1"/>
    <col min="5" max="5" width="14.109375" bestFit="1" customWidth="1"/>
    <col min="6" max="6" width="10.33203125" bestFit="1" customWidth="1"/>
  </cols>
  <sheetData>
    <row r="1" spans="1:14" ht="28.8" x14ac:dyDescent="0.3">
      <c r="A1" s="192" t="s">
        <v>155</v>
      </c>
      <c r="B1" s="192"/>
      <c r="C1" s="192"/>
      <c r="D1" s="192"/>
      <c r="E1" s="192"/>
      <c r="F1" s="192"/>
      <c r="G1" s="142"/>
      <c r="H1" s="142"/>
      <c r="I1" s="142"/>
      <c r="J1" s="142"/>
      <c r="K1" s="142"/>
      <c r="L1" s="142"/>
      <c r="M1" s="142"/>
      <c r="N1" s="142"/>
    </row>
    <row r="2" spans="1:14" ht="21" customHeight="1" x14ac:dyDescent="0.3">
      <c r="A2" s="69" t="s">
        <v>132</v>
      </c>
      <c r="B2" s="70" t="s">
        <v>24</v>
      </c>
      <c r="C2" s="70" t="s">
        <v>43</v>
      </c>
      <c r="D2" s="70" t="s">
        <v>33</v>
      </c>
      <c r="E2" s="70" t="s">
        <v>58</v>
      </c>
      <c r="F2" s="71" t="s">
        <v>156</v>
      </c>
      <c r="G2" s="142"/>
      <c r="H2" s="142"/>
      <c r="I2" s="142"/>
      <c r="J2" s="142"/>
      <c r="K2" s="142"/>
      <c r="L2" s="142"/>
      <c r="M2" s="142"/>
      <c r="N2" s="142"/>
    </row>
    <row r="3" spans="1:14" ht="18" x14ac:dyDescent="0.3">
      <c r="A3" s="72" t="s">
        <v>22</v>
      </c>
      <c r="B3" s="73">
        <v>519000</v>
      </c>
      <c r="C3" s="73">
        <v>0</v>
      </c>
      <c r="D3" s="73">
        <v>98000</v>
      </c>
      <c r="E3" s="73">
        <v>0</v>
      </c>
      <c r="F3" s="74">
        <v>617000</v>
      </c>
      <c r="G3" s="142"/>
      <c r="H3" s="142"/>
      <c r="I3" s="142"/>
      <c r="J3" s="142"/>
      <c r="K3" s="142"/>
      <c r="L3" s="142"/>
      <c r="M3" s="142"/>
      <c r="N3" s="142"/>
    </row>
    <row r="4" spans="1:14" ht="18" x14ac:dyDescent="0.3">
      <c r="A4" s="75" t="s">
        <v>31</v>
      </c>
      <c r="B4" s="76">
        <v>0</v>
      </c>
      <c r="C4" s="76">
        <v>118000</v>
      </c>
      <c r="D4" s="76">
        <v>189000</v>
      </c>
      <c r="E4" s="76">
        <v>243000</v>
      </c>
      <c r="F4" s="74">
        <v>550000</v>
      </c>
      <c r="G4" s="142"/>
      <c r="H4" s="142"/>
      <c r="I4" s="142"/>
      <c r="J4" s="142"/>
      <c r="K4" s="142"/>
      <c r="L4" s="142"/>
      <c r="M4" s="142"/>
      <c r="N4" s="142"/>
    </row>
    <row r="5" spans="1:14" ht="18" x14ac:dyDescent="0.3">
      <c r="A5" s="77" t="s">
        <v>41</v>
      </c>
      <c r="B5" s="78">
        <v>0</v>
      </c>
      <c r="C5" s="78">
        <v>393000</v>
      </c>
      <c r="D5" s="78">
        <v>102000</v>
      </c>
      <c r="E5" s="78">
        <v>126000</v>
      </c>
      <c r="F5" s="74">
        <v>621000</v>
      </c>
      <c r="G5" s="142"/>
      <c r="H5" s="142"/>
      <c r="I5" s="142"/>
      <c r="J5" s="142"/>
      <c r="K5" s="142"/>
      <c r="L5" s="142"/>
      <c r="M5" s="142"/>
      <c r="N5" s="142"/>
    </row>
    <row r="6" spans="1:14" ht="18" x14ac:dyDescent="0.3">
      <c r="A6" s="79" t="s">
        <v>49</v>
      </c>
      <c r="B6" s="80">
        <v>292000</v>
      </c>
      <c r="C6" s="80">
        <v>138000</v>
      </c>
      <c r="D6" s="80">
        <v>0</v>
      </c>
      <c r="E6" s="80">
        <v>0</v>
      </c>
      <c r="F6" s="74">
        <v>430000</v>
      </c>
      <c r="G6" s="142"/>
      <c r="H6" s="142"/>
      <c r="I6" s="142"/>
      <c r="J6" s="142"/>
      <c r="K6" s="142"/>
      <c r="L6" s="142"/>
      <c r="M6" s="142"/>
      <c r="N6" s="142"/>
    </row>
    <row r="7" spans="1:14" ht="18" x14ac:dyDescent="0.3">
      <c r="A7" s="81" t="s">
        <v>56</v>
      </c>
      <c r="B7" s="82">
        <v>128000</v>
      </c>
      <c r="C7" s="82">
        <v>71000</v>
      </c>
      <c r="D7" s="82">
        <v>0</v>
      </c>
      <c r="E7" s="82">
        <v>387000</v>
      </c>
      <c r="F7" s="74">
        <v>586000</v>
      </c>
      <c r="G7" s="142"/>
      <c r="H7" s="142"/>
      <c r="I7" s="142"/>
      <c r="J7" s="142"/>
      <c r="K7" s="142"/>
      <c r="L7" s="142"/>
      <c r="M7" s="142"/>
      <c r="N7" s="142"/>
    </row>
    <row r="8" spans="1:14" ht="18" x14ac:dyDescent="0.3">
      <c r="A8" s="83" t="s">
        <v>61</v>
      </c>
      <c r="B8" s="84">
        <v>0</v>
      </c>
      <c r="C8" s="84">
        <v>69000</v>
      </c>
      <c r="D8" s="84">
        <v>164000</v>
      </c>
      <c r="E8" s="84">
        <v>83000</v>
      </c>
      <c r="F8" s="74">
        <v>316000</v>
      </c>
      <c r="G8" s="142"/>
      <c r="H8" s="142"/>
      <c r="I8" s="142"/>
      <c r="J8" s="142"/>
      <c r="K8" s="142"/>
      <c r="L8" s="142"/>
      <c r="M8" s="142"/>
      <c r="N8" s="142"/>
    </row>
    <row r="9" spans="1:14" ht="18" x14ac:dyDescent="0.3">
      <c r="A9" s="85" t="s">
        <v>66</v>
      </c>
      <c r="B9" s="86">
        <v>134000</v>
      </c>
      <c r="C9" s="86">
        <v>454000</v>
      </c>
      <c r="D9" s="86">
        <v>0</v>
      </c>
      <c r="E9" s="86">
        <v>232000</v>
      </c>
      <c r="F9" s="74">
        <v>820000</v>
      </c>
      <c r="G9" s="142"/>
      <c r="H9" s="142"/>
      <c r="I9" s="142"/>
      <c r="J9" s="142"/>
      <c r="K9" s="142"/>
      <c r="L9" s="142"/>
      <c r="M9" s="142"/>
      <c r="N9" s="142"/>
    </row>
    <row r="10" spans="1:14" ht="18" x14ac:dyDescent="0.3">
      <c r="A10" s="74" t="s">
        <v>157</v>
      </c>
      <c r="B10" s="74">
        <v>1073000</v>
      </c>
      <c r="C10" s="74">
        <v>1243000</v>
      </c>
      <c r="D10" s="74">
        <v>553000</v>
      </c>
      <c r="E10" s="74">
        <v>1071000</v>
      </c>
      <c r="F10" s="74">
        <v>3940000</v>
      </c>
      <c r="G10" s="148"/>
      <c r="H10" s="148"/>
      <c r="I10" s="148"/>
      <c r="J10" s="148"/>
      <c r="K10" s="148"/>
      <c r="L10" s="148"/>
      <c r="M10" s="148"/>
      <c r="N10" s="148"/>
    </row>
    <row r="11" spans="1:14" x14ac:dyDescent="0.3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</row>
    <row r="12" spans="1:14" x14ac:dyDescent="0.3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</row>
    <row r="13" spans="1:14" x14ac:dyDescent="0.3">
      <c r="A13" s="157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</row>
    <row r="14" spans="1:14" x14ac:dyDescent="0.3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</row>
    <row r="15" spans="1:14" x14ac:dyDescent="0.3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</row>
    <row r="16" spans="1:14" x14ac:dyDescent="0.3">
      <c r="A16" s="157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</row>
    <row r="17" spans="1:14" x14ac:dyDescent="0.3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</row>
    <row r="18" spans="1:14" x14ac:dyDescent="0.3">
      <c r="A18" s="157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</row>
    <row r="19" spans="1:14" x14ac:dyDescent="0.3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</row>
    <row r="20" spans="1:14" x14ac:dyDescent="0.3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</row>
    <row r="21" spans="1:14" x14ac:dyDescent="0.3">
      <c r="A21" s="157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</row>
    <row r="22" spans="1:14" x14ac:dyDescent="0.3">
      <c r="A22" s="157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</row>
    <row r="23" spans="1:14" x14ac:dyDescent="0.3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</row>
    <row r="24" spans="1:14" x14ac:dyDescent="0.3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</row>
    <row r="25" spans="1:14" x14ac:dyDescent="0.3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</row>
    <row r="26" spans="1:14" x14ac:dyDescent="0.3">
      <c r="A26" s="157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</row>
    <row r="27" spans="1:14" x14ac:dyDescent="0.3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</row>
    <row r="28" spans="1:14" x14ac:dyDescent="0.3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</row>
    <row r="29" spans="1:14" x14ac:dyDescent="0.3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</row>
    <row r="30" spans="1:14" x14ac:dyDescent="0.3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</row>
    <row r="31" spans="1:14" x14ac:dyDescent="0.3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</row>
    <row r="32" spans="1:14" x14ac:dyDescent="0.3">
      <c r="A32" s="157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</row>
    <row r="33" spans="1:14" x14ac:dyDescent="0.3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</row>
    <row r="34" spans="1:14" x14ac:dyDescent="0.3">
      <c r="A34" s="157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</row>
    <row r="35" spans="1:14" x14ac:dyDescent="0.3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</row>
    <row r="36" spans="1:14" x14ac:dyDescent="0.3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</row>
    <row r="37" spans="1:14" x14ac:dyDescent="0.3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</row>
    <row r="38" spans="1:14" x14ac:dyDescent="0.3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</row>
    <row r="39" spans="1:14" x14ac:dyDescent="0.3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</row>
    <row r="40" spans="1:14" x14ac:dyDescent="0.3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</row>
    <row r="41" spans="1:14" x14ac:dyDescent="0.3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</row>
    <row r="42" spans="1:14" x14ac:dyDescent="0.3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</row>
    <row r="43" spans="1:14" x14ac:dyDescent="0.3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</row>
    <row r="44" spans="1:14" x14ac:dyDescent="0.3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</row>
    <row r="45" spans="1:14" x14ac:dyDescent="0.3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</row>
  </sheetData>
  <mergeCells count="3">
    <mergeCell ref="A1:F1"/>
    <mergeCell ref="A11:N45"/>
    <mergeCell ref="G1:N10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CRM_Data</vt:lpstr>
      <vt:lpstr>Rep_Performance</vt:lpstr>
      <vt:lpstr>Funnel Analysis</vt:lpstr>
      <vt:lpstr>Industry Analysis</vt:lpstr>
      <vt:lpstr>Pivot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2026-05-31T17:11:52Z</dcterms:modified>
</cp:coreProperties>
</file>